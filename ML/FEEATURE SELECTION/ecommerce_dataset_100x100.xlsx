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mmerce_Dataset" sheetId="1" state="visible" r:id="rId3"/>
  </sheets>
  <definedNames>
    <definedName function="false" hidden="true" localSheetId="0" name="_xlnm._FilterDatabase" vbProcedure="false">Ecommerce_Dataset!$A$1:$CV$101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<sst xmlns="http://schemas.openxmlformats.org/spreadsheetml/2006/main" count="5826" uniqueCount="1750">
  <si>
    <t xml:space="preserve">CustomerID</t>
  </si>
  <si>
    <t xml:space="preserve">FirstName</t>
  </si>
  <si>
    <t xml:space="preserve">LastName</t>
  </si>
  <si>
    <t xml:space="preserve">Email</t>
  </si>
  <si>
    <t xml:space="preserve">Phone</t>
  </si>
  <si>
    <t xml:space="preserve">Gender</t>
  </si>
  <si>
    <t xml:space="preserve">Age</t>
  </si>
  <si>
    <t xml:space="preserve">DateOfBirth</t>
  </si>
  <si>
    <t xml:space="preserve">Country</t>
  </si>
  <si>
    <t xml:space="preserve">State</t>
  </si>
  <si>
    <t xml:space="preserve">City</t>
  </si>
  <si>
    <t xml:space="preserve">ZipCode</t>
  </si>
  <si>
    <t xml:space="preserve">Address</t>
  </si>
  <si>
    <t xml:space="preserve">SignupDate</t>
  </si>
  <si>
    <t xml:space="preserve">MembershipTier</t>
  </si>
  <si>
    <t xml:space="preserve">LoyaltyPoints</t>
  </si>
  <si>
    <t xml:space="preserve">ReferralCode</t>
  </si>
  <si>
    <t xml:space="preserve">ReferredBy</t>
  </si>
  <si>
    <t xml:space="preserve">AccountStatus</t>
  </si>
  <si>
    <t xml:space="preserve">PreferredLanguage</t>
  </si>
  <si>
    <t xml:space="preserve">PreferredCurrency</t>
  </si>
  <si>
    <t xml:space="preserve">NewsletterSubscribed</t>
  </si>
  <si>
    <t xml:space="preserve">MarketingOptIn</t>
  </si>
  <si>
    <t xml:space="preserve">OrderID</t>
  </si>
  <si>
    <t xml:space="preserve">OrderDate</t>
  </si>
  <si>
    <t xml:space="preserve">OrderTime</t>
  </si>
  <si>
    <t xml:space="preserve">OrderStatus</t>
  </si>
  <si>
    <t xml:space="preserve">OrderChannel</t>
  </si>
  <si>
    <t xml:space="preserve">ProductID</t>
  </si>
  <si>
    <t xml:space="preserve">ProductName</t>
  </si>
  <si>
    <t xml:space="preserve">ProductCategory</t>
  </si>
  <si>
    <t xml:space="preserve">ProductSubCategory</t>
  </si>
  <si>
    <t xml:space="preserve">Brand</t>
  </si>
  <si>
    <t xml:space="preserve">Quantity</t>
  </si>
  <si>
    <t xml:space="preserve">UnitPrice</t>
  </si>
  <si>
    <t xml:space="preserve">Discount_Percent</t>
  </si>
  <si>
    <t xml:space="preserve">TaxRate_Percent</t>
  </si>
  <si>
    <t xml:space="preserve">ShippingCost</t>
  </si>
  <si>
    <t xml:space="preserve">PaymentMethod</t>
  </si>
  <si>
    <t xml:space="preserve">PaymentStatus</t>
  </si>
  <si>
    <t xml:space="preserve">CurrencyCode</t>
  </si>
  <si>
    <t xml:space="preserve">CostPrice</t>
  </si>
  <si>
    <t xml:space="preserve">InvoiceNumber</t>
  </si>
  <si>
    <t xml:space="preserve">ShippingAddress</t>
  </si>
  <si>
    <t xml:space="preserve">ShippingCity</t>
  </si>
  <si>
    <t xml:space="preserve">ShippingCountry</t>
  </si>
  <si>
    <t xml:space="preserve">WarehouseLocation</t>
  </si>
  <si>
    <t xml:space="preserve">CarrierName</t>
  </si>
  <si>
    <t xml:space="preserve">TrackingNumber</t>
  </si>
  <si>
    <t xml:space="preserve">EstimatedDeliveryDate</t>
  </si>
  <si>
    <t xml:space="preserve">ActualDeliveryDate</t>
  </si>
  <si>
    <t xml:space="preserve">DeliveryStatus</t>
  </si>
  <si>
    <t xml:space="preserve">ReturnRequested</t>
  </si>
  <si>
    <t xml:space="preserve">ReturnReason</t>
  </si>
  <si>
    <t xml:space="preserve">ReturnDate</t>
  </si>
  <si>
    <t xml:space="preserve">ExchangeRequested</t>
  </si>
  <si>
    <t xml:space="preserve">ReturnCondition</t>
  </si>
  <si>
    <t xml:space="preserve">MarketingChannel</t>
  </si>
  <si>
    <t xml:space="preserve">CampaignName</t>
  </si>
  <si>
    <t xml:space="preserve">CampaignID</t>
  </si>
  <si>
    <t xml:space="preserve">AdSpend</t>
  </si>
  <si>
    <t xml:space="preserve">ImpressionCount</t>
  </si>
  <si>
    <t xml:space="preserve">ClickCount</t>
  </si>
  <si>
    <t xml:space="preserve">CouponCode</t>
  </si>
  <si>
    <t xml:space="preserve">CouponUsed</t>
  </si>
  <si>
    <t xml:space="preserve">DeviceType</t>
  </si>
  <si>
    <t xml:space="preserve">Browser</t>
  </si>
  <si>
    <t xml:space="preserve">OperatingSystem</t>
  </si>
  <si>
    <t xml:space="preserve">SessionDuration_Min</t>
  </si>
  <si>
    <t xml:space="preserve">PagesViewed</t>
  </si>
  <si>
    <t xml:space="preserve">CartAbandoned</t>
  </si>
  <si>
    <t xml:space="preserve">WishlistItems</t>
  </si>
  <si>
    <t xml:space="preserve">TimeOnSitePerVisit_Min</t>
  </si>
  <si>
    <t xml:space="preserve">NumberOfVisits</t>
  </si>
  <si>
    <t xml:space="preserve">LastLoginDate</t>
  </si>
  <si>
    <t xml:space="preserve">ProductRating</t>
  </si>
  <si>
    <t xml:space="preserve">ReviewText_WordCount</t>
  </si>
  <si>
    <t xml:space="preserve">ReviewSubmitted</t>
  </si>
  <si>
    <t xml:space="preserve">NPS_Score</t>
  </si>
  <si>
    <t xml:space="preserve">CustomerSatisfactionScore</t>
  </si>
  <si>
    <t xml:space="preserve">SupportTicketsRaised</t>
  </si>
  <si>
    <t xml:space="preserve">SupportTicketResolutionTime_Hours</t>
  </si>
  <si>
    <t xml:space="preserve">CustomerLifetimeValue</t>
  </si>
  <si>
    <t xml:space="preserve">ChurnProbability_Percent</t>
  </si>
  <si>
    <t xml:space="preserve">CreditScore</t>
  </si>
  <si>
    <t xml:space="preserve">RiskSegment</t>
  </si>
  <si>
    <t xml:space="preserve">IsRepeatCustomer</t>
  </si>
  <si>
    <t xml:space="preserve">AbandonedCartCount</t>
  </si>
  <si>
    <t xml:space="preserve">TotalOrdersToDate</t>
  </si>
  <si>
    <t xml:space="preserve">AverageOrderValue</t>
  </si>
  <si>
    <t xml:space="preserve">LastPurchaseDaysAgo</t>
  </si>
  <si>
    <t xml:space="preserve">IsVIP</t>
  </si>
  <si>
    <t xml:space="preserve">SubTotal</t>
  </si>
  <si>
    <t xml:space="preserve">DiscountAmount</t>
  </si>
  <si>
    <t xml:space="preserve">TaxAmount</t>
  </si>
  <si>
    <t xml:space="preserve">TotalAmount</t>
  </si>
  <si>
    <t xml:space="preserve">Profit</t>
  </si>
  <si>
    <t xml:space="preserve">ProfitMargin_Percent</t>
  </si>
  <si>
    <t xml:space="preserve">CTR_Percent</t>
  </si>
  <si>
    <t xml:space="preserve">DeliveryDays</t>
  </si>
  <si>
    <t xml:space="preserve">CUST10001</t>
  </si>
  <si>
    <t xml:space="preserve">Samantha</t>
  </si>
  <si>
    <t xml:space="preserve">Anderson</t>
  </si>
  <si>
    <t xml:space="preserve">samantha.anderson1@example.com</t>
  </si>
  <si>
    <t xml:space="preserve">+1-294-589-2584</t>
  </si>
  <si>
    <t xml:space="preserve">Male</t>
  </si>
  <si>
    <t xml:space="preserve">UK</t>
  </si>
  <si>
    <t xml:space="preserve">England</t>
  </si>
  <si>
    <t xml:space="preserve">London</t>
  </si>
  <si>
    <t xml:space="preserve">EC1A1BB</t>
  </si>
  <si>
    <t xml:space="preserve">368 Sunset Blvd</t>
  </si>
  <si>
    <t xml:space="preserve">Gold</t>
  </si>
  <si>
    <t xml:space="preserve">REF6635</t>
  </si>
  <si>
    <t xml:space="preserve">N/A</t>
  </si>
  <si>
    <t xml:space="preserve">Active</t>
  </si>
  <si>
    <t xml:space="preserve">Hindi</t>
  </si>
  <si>
    <t xml:space="preserve">CAD</t>
  </si>
  <si>
    <t xml:space="preserve">Yes</t>
  </si>
  <si>
    <t xml:space="preserve">No</t>
  </si>
  <si>
    <t xml:space="preserve">ORD200001</t>
  </si>
  <si>
    <t xml:space="preserve">12:05:35</t>
  </si>
  <si>
    <t xml:space="preserve">Processing</t>
  </si>
  <si>
    <t xml:space="preserve">Marketplace</t>
  </si>
  <si>
    <t xml:space="preserve">P6925</t>
  </si>
  <si>
    <t xml:space="preserve">Moisturizing Face Cream</t>
  </si>
  <si>
    <t xml:space="preserve">Beauty &amp; Personal Care</t>
  </si>
  <si>
    <t xml:space="preserve">Fragrance</t>
  </si>
  <si>
    <t xml:space="preserve">L'Oreal</t>
  </si>
  <si>
    <t xml:space="preserve">Digital Wallet</t>
  </si>
  <si>
    <t xml:space="preserve">Paid</t>
  </si>
  <si>
    <t xml:space="preserve">INR</t>
  </si>
  <si>
    <t xml:space="preserve">INV-2024-100001</t>
  </si>
  <si>
    <t xml:space="preserve">234 Maple Dr</t>
  </si>
  <si>
    <t xml:space="preserve">WH-East</t>
  </si>
  <si>
    <t xml:space="preserve">UPS</t>
  </si>
  <si>
    <t xml:space="preserve">TRK208449460</t>
  </si>
  <si>
    <t xml:space="preserve">Delivered Early</t>
  </si>
  <si>
    <t xml:space="preserve">YouTube Ads</t>
  </si>
  <si>
    <t xml:space="preserve">YouTube_FlashSale</t>
  </si>
  <si>
    <t xml:space="preserve">CMP8428</t>
  </si>
  <si>
    <t xml:space="preserve">SAVE33</t>
  </si>
  <si>
    <t xml:space="preserve">Tablet</t>
  </si>
  <si>
    <t xml:space="preserve">Firefox</t>
  </si>
  <si>
    <t xml:space="preserve">Windows</t>
  </si>
  <si>
    <t xml:space="preserve">High Risk</t>
  </si>
  <si>
    <t xml:space="preserve">CUST10002</t>
  </si>
  <si>
    <t xml:space="preserve">John</t>
  </si>
  <si>
    <t xml:space="preserve">Green</t>
  </si>
  <si>
    <t xml:space="preserve">john.green2@example.com</t>
  </si>
  <si>
    <t xml:space="preserve">+1-457-766-1188</t>
  </si>
  <si>
    <t xml:space="preserve">Female</t>
  </si>
  <si>
    <t xml:space="preserve">Japan</t>
  </si>
  <si>
    <t xml:space="preserve">Tokyo</t>
  </si>
  <si>
    <t xml:space="preserve">100-0001</t>
  </si>
  <si>
    <t xml:space="preserve">697 2nd Ave</t>
  </si>
  <si>
    <t xml:space="preserve">Bronze</t>
  </si>
  <si>
    <t xml:space="preserve">REF2876</t>
  </si>
  <si>
    <t xml:space="preserve">French</t>
  </si>
  <si>
    <t xml:space="preserve">BDT</t>
  </si>
  <si>
    <t xml:space="preserve">ORD200002</t>
  </si>
  <si>
    <t xml:space="preserve">13:10:29</t>
  </si>
  <si>
    <t xml:space="preserve">Delivered</t>
  </si>
  <si>
    <t xml:space="preserve">Website</t>
  </si>
  <si>
    <t xml:space="preserve">P5315</t>
  </si>
  <si>
    <t xml:space="preserve">Camping Tent 4-Person</t>
  </si>
  <si>
    <t xml:space="preserve">Sports &amp; Outdoors</t>
  </si>
  <si>
    <t xml:space="preserve">Team Sports</t>
  </si>
  <si>
    <t xml:space="preserve">Nike</t>
  </si>
  <si>
    <t xml:space="preserve">Debit Card</t>
  </si>
  <si>
    <t xml:space="preserve">USD</t>
  </si>
  <si>
    <t xml:space="preserve">INV-2024-100002</t>
  </si>
  <si>
    <t xml:space="preserve">892 Maple Dr</t>
  </si>
  <si>
    <t xml:space="preserve">WH-South</t>
  </si>
  <si>
    <t xml:space="preserve">BlueDart</t>
  </si>
  <si>
    <t xml:space="preserve">TRK313579170</t>
  </si>
  <si>
    <t xml:space="preserve">Delayed</t>
  </si>
  <si>
    <t xml:space="preserve">CMP3646</t>
  </si>
  <si>
    <t xml:space="preserve">Mobile</t>
  </si>
  <si>
    <t xml:space="preserve">Chrome</t>
  </si>
  <si>
    <t xml:space="preserve">CUST10003</t>
  </si>
  <si>
    <t xml:space="preserve">Thomas</t>
  </si>
  <si>
    <t xml:space="preserve">Taylor</t>
  </si>
  <si>
    <t xml:space="preserve">thomas.taylor3@example.com</t>
  </si>
  <si>
    <t xml:space="preserve">+1-443-485-8953</t>
  </si>
  <si>
    <t xml:space="preserve">Other</t>
  </si>
  <si>
    <t xml:space="preserve">Scotland</t>
  </si>
  <si>
    <t xml:space="preserve">Edinburgh</t>
  </si>
  <si>
    <t xml:space="preserve">EH11BB</t>
  </si>
  <si>
    <t xml:space="preserve">220 Park Rd</t>
  </si>
  <si>
    <t xml:space="preserve">REF3167</t>
  </si>
  <si>
    <t xml:space="preserve">Inactive</t>
  </si>
  <si>
    <t xml:space="preserve">Bengali</t>
  </si>
  <si>
    <t xml:space="preserve">ORD200003</t>
  </si>
  <si>
    <t xml:space="preserve">13:12:06</t>
  </si>
  <si>
    <t xml:space="preserve">P8062</t>
  </si>
  <si>
    <t xml:space="preserve">Eau de Parfum 50ml</t>
  </si>
  <si>
    <t xml:space="preserve">Haircare</t>
  </si>
  <si>
    <t xml:space="preserve">Maybelline</t>
  </si>
  <si>
    <t xml:space="preserve">Cash on Delivery</t>
  </si>
  <si>
    <t xml:space="preserve">INV-2024-100003</t>
  </si>
  <si>
    <t xml:space="preserve">56 Main St</t>
  </si>
  <si>
    <t xml:space="preserve">USPS</t>
  </si>
  <si>
    <t xml:space="preserve">TRK881913386</t>
  </si>
  <si>
    <t xml:space="preserve">In Transit</t>
  </si>
  <si>
    <t xml:space="preserve">Email Campaign</t>
  </si>
  <si>
    <t xml:space="preserve">Email_SummerSale</t>
  </si>
  <si>
    <t xml:space="preserve">CMP5073</t>
  </si>
  <si>
    <t xml:space="preserve">Safari</t>
  </si>
  <si>
    <t xml:space="preserve">CUST10004</t>
  </si>
  <si>
    <t xml:space="preserve">Stephanie</t>
  </si>
  <si>
    <t xml:space="preserve">Davis</t>
  </si>
  <si>
    <t xml:space="preserve">stephanie.davis4@example.com</t>
  </si>
  <si>
    <t xml:space="preserve">+1-783-452-1651</t>
  </si>
  <si>
    <t xml:space="preserve">635 Main St</t>
  </si>
  <si>
    <t xml:space="preserve">REF7868</t>
  </si>
  <si>
    <t xml:space="preserve">GBP</t>
  </si>
  <si>
    <t xml:space="preserve">ORD200004</t>
  </si>
  <si>
    <t xml:space="preserve">07:16:25</t>
  </si>
  <si>
    <t xml:space="preserve">Mobile App</t>
  </si>
  <si>
    <t xml:space="preserve">P5915</t>
  </si>
  <si>
    <t xml:space="preserve">Adjustable Dumbbell Set</t>
  </si>
  <si>
    <t xml:space="preserve">Credit Card</t>
  </si>
  <si>
    <t xml:space="preserve">AUD</t>
  </si>
  <si>
    <t xml:space="preserve">INV-2024-100004</t>
  </si>
  <si>
    <t xml:space="preserve">577 Main St</t>
  </si>
  <si>
    <t xml:space="preserve">TRK328872698</t>
  </si>
  <si>
    <t xml:space="preserve">Instagram</t>
  </si>
  <si>
    <t xml:space="preserve">Instagram_WinterSale</t>
  </si>
  <si>
    <t xml:space="preserve">CMP6718</t>
  </si>
  <si>
    <t xml:space="preserve">Opera</t>
  </si>
  <si>
    <t xml:space="preserve">CUST10005</t>
  </si>
  <si>
    <t xml:space="preserve">Susan</t>
  </si>
  <si>
    <t xml:space="preserve">Myers</t>
  </si>
  <si>
    <t xml:space="preserve">susan.myers5@example.com</t>
  </si>
  <si>
    <t xml:space="preserve">+1-758-236-7049</t>
  </si>
  <si>
    <t xml:space="preserve">Brazil</t>
  </si>
  <si>
    <t xml:space="preserve">Sao Paulo</t>
  </si>
  <si>
    <t xml:space="preserve">01000-000</t>
  </si>
  <si>
    <t xml:space="preserve">597 Park Rd</t>
  </si>
  <si>
    <t xml:space="preserve">REF3426</t>
  </si>
  <si>
    <t xml:space="preserve">ORD200005</t>
  </si>
  <si>
    <t xml:space="preserve">11:13:43</t>
  </si>
  <si>
    <t xml:space="preserve">Cancelled</t>
  </si>
  <si>
    <t xml:space="preserve">P2684</t>
  </si>
  <si>
    <t xml:space="preserve">Mountain Bike Helmet</t>
  </si>
  <si>
    <t xml:space="preserve">Cycling</t>
  </si>
  <si>
    <t xml:space="preserve">Puma</t>
  </si>
  <si>
    <t xml:space="preserve">Bank Transfer</t>
  </si>
  <si>
    <t xml:space="preserve">Failed</t>
  </si>
  <si>
    <t xml:space="preserve">INV-2024-100005</t>
  </si>
  <si>
    <t xml:space="preserve">998 Park Rd</t>
  </si>
  <si>
    <t xml:space="preserve">WH-West</t>
  </si>
  <si>
    <t xml:space="preserve">TRK274484941</t>
  </si>
  <si>
    <t xml:space="preserve">Not as Described</t>
  </si>
  <si>
    <t xml:space="preserve">Damaged</t>
  </si>
  <si>
    <t xml:space="preserve">Affiliate</t>
  </si>
  <si>
    <t xml:space="preserve">Affiliate_HolidaySale</t>
  </si>
  <si>
    <t xml:space="preserve">CMP5065</t>
  </si>
  <si>
    <t xml:space="preserve">Edge</t>
  </si>
  <si>
    <t xml:space="preserve">Linux</t>
  </si>
  <si>
    <t xml:space="preserve">CUST10006</t>
  </si>
  <si>
    <t xml:space="preserve">Samuel</t>
  </si>
  <si>
    <t xml:space="preserve">Rogers</t>
  </si>
  <si>
    <t xml:space="preserve">samuel.rogers6@example.com</t>
  </si>
  <si>
    <t xml:space="preserve">+1-879-327-5920</t>
  </si>
  <si>
    <t xml:space="preserve">USA</t>
  </si>
  <si>
    <t xml:space="preserve">California</t>
  </si>
  <si>
    <t xml:space="preserve">Los Angeles</t>
  </si>
  <si>
    <t xml:space="preserve">90001</t>
  </si>
  <si>
    <t xml:space="preserve">520 Maple Dr</t>
  </si>
  <si>
    <t xml:space="preserve">REF7691</t>
  </si>
  <si>
    <t xml:space="preserve">EUR</t>
  </si>
  <si>
    <t xml:space="preserve">ORD200006</t>
  </si>
  <si>
    <t xml:space="preserve">12:43:47</t>
  </si>
  <si>
    <t xml:space="preserve">P5930</t>
  </si>
  <si>
    <t xml:space="preserve">Makeup</t>
  </si>
  <si>
    <t xml:space="preserve">INV-2024-100006</t>
  </si>
  <si>
    <t xml:space="preserve">441 Park Rd</t>
  </si>
  <si>
    <t xml:space="preserve">Local Courier</t>
  </si>
  <si>
    <t xml:space="preserve">TRK446012478</t>
  </si>
  <si>
    <t xml:space="preserve">Referral</t>
  </si>
  <si>
    <t xml:space="preserve">Referral_HolidaySale</t>
  </si>
  <si>
    <t xml:space="preserve">CMP8244</t>
  </si>
  <si>
    <t xml:space="preserve">Low Risk</t>
  </si>
  <si>
    <t xml:space="preserve">CUST10007</t>
  </si>
  <si>
    <t xml:space="preserve">Jacob</t>
  </si>
  <si>
    <t xml:space="preserve">Ward</t>
  </si>
  <si>
    <t xml:space="preserve">jacob.ward7@example.com</t>
  </si>
  <si>
    <t xml:space="preserve">+1-362-961-8777</t>
  </si>
  <si>
    <t xml:space="preserve">461 Maple Dr</t>
  </si>
  <si>
    <t xml:space="preserve">REF5050</t>
  </si>
  <si>
    <t xml:space="preserve">ORD200007</t>
  </si>
  <si>
    <t xml:space="preserve">02:45:18</t>
  </si>
  <si>
    <t xml:space="preserve">P5451</t>
  </si>
  <si>
    <t xml:space="preserve">Mystery Novel Vol.2</t>
  </si>
  <si>
    <t xml:space="preserve">Books</t>
  </si>
  <si>
    <t xml:space="preserve">Non-Fiction</t>
  </si>
  <si>
    <t xml:space="preserve">HarperCollins</t>
  </si>
  <si>
    <t xml:space="preserve">INV-2024-100007</t>
  </si>
  <si>
    <t xml:space="preserve">237 Elm St</t>
  </si>
  <si>
    <t xml:space="preserve">TRK329730155</t>
  </si>
  <si>
    <t xml:space="preserve">On Time</t>
  </si>
  <si>
    <t xml:space="preserve">Instagram_HolidaySale</t>
  </si>
  <si>
    <t xml:space="preserve">CMP7678</t>
  </si>
  <si>
    <t xml:space="preserve">Desktop</t>
  </si>
  <si>
    <t xml:space="preserve">CUST10008</t>
  </si>
  <si>
    <t xml:space="preserve">Jack</t>
  </si>
  <si>
    <t xml:space="preserve">Cooper</t>
  </si>
  <si>
    <t xml:space="preserve">jack.cooper8@example.com</t>
  </si>
  <si>
    <t xml:space="preserve">+1-681-219-9837</t>
  </si>
  <si>
    <t xml:space="preserve">54 Maple Dr</t>
  </si>
  <si>
    <t xml:space="preserve">Silver</t>
  </si>
  <si>
    <t xml:space="preserve">REF4673</t>
  </si>
  <si>
    <t xml:space="preserve">ORD200008</t>
  </si>
  <si>
    <t xml:space="preserve">06:53:01</t>
  </si>
  <si>
    <t xml:space="preserve">P4908</t>
  </si>
  <si>
    <t xml:space="preserve">Air Fryer 5L</t>
  </si>
  <si>
    <t xml:space="preserve">Home &amp; Kitchen</t>
  </si>
  <si>
    <t xml:space="preserve">Appliances</t>
  </si>
  <si>
    <t xml:space="preserve">Philips</t>
  </si>
  <si>
    <t xml:space="preserve">INV-2024-100008</t>
  </si>
  <si>
    <t xml:space="preserve">477 Maple Dr</t>
  </si>
  <si>
    <t xml:space="preserve">WH-Central</t>
  </si>
  <si>
    <t xml:space="preserve">TRK750572325</t>
  </si>
  <si>
    <t xml:space="preserve">Google Ads</t>
  </si>
  <si>
    <t xml:space="preserve">Google_WinterSale</t>
  </si>
  <si>
    <t xml:space="preserve">CMP6096</t>
  </si>
  <si>
    <t xml:space="preserve">SAVE29</t>
  </si>
  <si>
    <t xml:space="preserve">macOS</t>
  </si>
  <si>
    <t xml:space="preserve">Medium Risk</t>
  </si>
  <si>
    <t xml:space="preserve">CUST10009</t>
  </si>
  <si>
    <t xml:space="preserve">Brian</t>
  </si>
  <si>
    <t xml:space="preserve">Morgan</t>
  </si>
  <si>
    <t xml:space="preserve">brian.morgan9@example.com</t>
  </si>
  <si>
    <t xml:space="preserve">+1-386-699-4475</t>
  </si>
  <si>
    <t xml:space="preserve">Bangladesh</t>
  </si>
  <si>
    <t xml:space="preserve">Dhaka</t>
  </si>
  <si>
    <t xml:space="preserve">1000</t>
  </si>
  <si>
    <t xml:space="preserve">364 Sunset Blvd</t>
  </si>
  <si>
    <t xml:space="preserve">REF5232</t>
  </si>
  <si>
    <t xml:space="preserve">ORD200009</t>
  </si>
  <si>
    <t xml:space="preserve">06:05:15</t>
  </si>
  <si>
    <t xml:space="preserve">Call Center</t>
  </si>
  <si>
    <t xml:space="preserve">P9004</t>
  </si>
  <si>
    <t xml:space="preserve">Smartphone X12</t>
  </si>
  <si>
    <t xml:space="preserve">Electronics</t>
  </si>
  <si>
    <t xml:space="preserve">Cameras</t>
  </si>
  <si>
    <t xml:space="preserve">Apple</t>
  </si>
  <si>
    <t xml:space="preserve">INV-2024-100009</t>
  </si>
  <si>
    <t xml:space="preserve">729 Elm St</t>
  </si>
  <si>
    <t xml:space="preserve">WH-North</t>
  </si>
  <si>
    <t xml:space="preserve">FedEx</t>
  </si>
  <si>
    <t xml:space="preserve">TRK199915275</t>
  </si>
  <si>
    <t xml:space="preserve">Organic Search</t>
  </si>
  <si>
    <t xml:space="preserve">Organic_WinterSale</t>
  </si>
  <si>
    <t xml:space="preserve">CMP7625</t>
  </si>
  <si>
    <t xml:space="preserve">SAVE47</t>
  </si>
  <si>
    <t xml:space="preserve">Android</t>
  </si>
  <si>
    <t xml:space="preserve">CUST10010</t>
  </si>
  <si>
    <t xml:space="preserve">Alexander</t>
  </si>
  <si>
    <t xml:space="preserve">White</t>
  </si>
  <si>
    <t xml:space="preserve">alexander.white10@example.com</t>
  </si>
  <si>
    <t xml:space="preserve">+1-689-316-2070</t>
  </si>
  <si>
    <t xml:space="preserve">411 Elm St</t>
  </si>
  <si>
    <t xml:space="preserve">REF2213</t>
  </si>
  <si>
    <t xml:space="preserve">Spanish</t>
  </si>
  <si>
    <t xml:space="preserve">ORD200010</t>
  </si>
  <si>
    <t xml:space="preserve">02:15:07</t>
  </si>
  <si>
    <t xml:space="preserve">Returned</t>
  </si>
  <si>
    <t xml:space="preserve">P4697</t>
  </si>
  <si>
    <t xml:space="preserve">Wooden Coffee Table</t>
  </si>
  <si>
    <t xml:space="preserve">Furniture</t>
  </si>
  <si>
    <t xml:space="preserve">Prestige</t>
  </si>
  <si>
    <t xml:space="preserve">INV-2024-100010</t>
  </si>
  <si>
    <t xml:space="preserve">305 Park Rd</t>
  </si>
  <si>
    <t xml:space="preserve">DHL</t>
  </si>
  <si>
    <t xml:space="preserve">TRK710561240</t>
  </si>
  <si>
    <t xml:space="preserve">Better Price Found</t>
  </si>
  <si>
    <t xml:space="preserve">Unopened</t>
  </si>
  <si>
    <t xml:space="preserve">CMP4457</t>
  </si>
  <si>
    <t xml:space="preserve">SAVE25</t>
  </si>
  <si>
    <t xml:space="preserve">CUST10011</t>
  </si>
  <si>
    <t xml:space="preserve">Betty</t>
  </si>
  <si>
    <t xml:space="preserve">Diaz</t>
  </si>
  <si>
    <t xml:space="preserve">betty.diaz11@example.com</t>
  </si>
  <si>
    <t xml:space="preserve">+1-983-888-5415</t>
  </si>
  <si>
    <t xml:space="preserve">Florida</t>
  </si>
  <si>
    <t xml:space="preserve">Miami</t>
  </si>
  <si>
    <t xml:space="preserve">33101</t>
  </si>
  <si>
    <t xml:space="preserve">591 Main St</t>
  </si>
  <si>
    <t xml:space="preserve">REF3870</t>
  </si>
  <si>
    <t xml:space="preserve">ORD200011</t>
  </si>
  <si>
    <t xml:space="preserve">15:05:30</t>
  </si>
  <si>
    <t xml:space="preserve">P7690</t>
  </si>
  <si>
    <t xml:space="preserve">Summer Dress</t>
  </si>
  <si>
    <t xml:space="preserve">Clothing</t>
  </si>
  <si>
    <t xml:space="preserve">Kids Wear</t>
  </si>
  <si>
    <t xml:space="preserve">Levi's</t>
  </si>
  <si>
    <t xml:space="preserve">INV-2024-100011</t>
  </si>
  <si>
    <t xml:space="preserve">338 Elm St</t>
  </si>
  <si>
    <t xml:space="preserve">TRK811443654</t>
  </si>
  <si>
    <t xml:space="preserve">YouTube_HolidaySale</t>
  </si>
  <si>
    <t xml:space="preserve">CMP2442</t>
  </si>
  <si>
    <t xml:space="preserve">SAVE35</t>
  </si>
  <si>
    <t xml:space="preserve">CUST10012</t>
  </si>
  <si>
    <t xml:space="preserve">Jeffrey</t>
  </si>
  <si>
    <t xml:space="preserve">Hughes</t>
  </si>
  <si>
    <t xml:space="preserve">jeffrey.hughes12@example.com</t>
  </si>
  <si>
    <t xml:space="preserve">+1-271-482-7798</t>
  </si>
  <si>
    <t xml:space="preserve">349 Sunset Blvd</t>
  </si>
  <si>
    <t xml:space="preserve">REF9318</t>
  </si>
  <si>
    <t xml:space="preserve">CUST10000</t>
  </si>
  <si>
    <t xml:space="preserve">ORD200012</t>
  </si>
  <si>
    <t xml:space="preserve">15:55:09</t>
  </si>
  <si>
    <t xml:space="preserve">Shipped</t>
  </si>
  <si>
    <t xml:space="preserve">P9824</t>
  </si>
  <si>
    <t xml:space="preserve">Wireless Earbuds Pro</t>
  </si>
  <si>
    <t xml:space="preserve">Tablets</t>
  </si>
  <si>
    <t xml:space="preserve">LG</t>
  </si>
  <si>
    <t xml:space="preserve">PayPal</t>
  </si>
  <si>
    <t xml:space="preserve">INV-2024-100012</t>
  </si>
  <si>
    <t xml:space="preserve">387 Elm St</t>
  </si>
  <si>
    <t xml:space="preserve">TRK848933239</t>
  </si>
  <si>
    <t xml:space="preserve">Affiliate_NewYearSale</t>
  </si>
  <si>
    <t xml:space="preserve">CMP7274</t>
  </si>
  <si>
    <t xml:space="preserve">CUST10013</t>
  </si>
  <si>
    <t xml:space="preserve">Charles</t>
  </si>
  <si>
    <t xml:space="preserve">Evans</t>
  </si>
  <si>
    <t xml:space="preserve">charles.evans13@example.com</t>
  </si>
  <si>
    <t xml:space="preserve">+1-500-567-7141</t>
  </si>
  <si>
    <t xml:space="preserve">442 Oak Ave</t>
  </si>
  <si>
    <t xml:space="preserve">REF5000</t>
  </si>
  <si>
    <t xml:space="preserve">ORD200013</t>
  </si>
  <si>
    <t xml:space="preserve">12:39:43</t>
  </si>
  <si>
    <t xml:space="preserve">P9153</t>
  </si>
  <si>
    <t xml:space="preserve">Headphones</t>
  </si>
  <si>
    <t xml:space="preserve">Dell</t>
  </si>
  <si>
    <t xml:space="preserve">INV-2024-100013</t>
  </si>
  <si>
    <t xml:space="preserve">261 Elm St</t>
  </si>
  <si>
    <t xml:space="preserve">TRK110090412</t>
  </si>
  <si>
    <t xml:space="preserve">Facebook Ads</t>
  </si>
  <si>
    <t xml:space="preserve">Facebook_FlashSale</t>
  </si>
  <si>
    <t xml:space="preserve">CMP9955</t>
  </si>
  <si>
    <t xml:space="preserve">CUST10014</t>
  </si>
  <si>
    <t xml:space="preserve">Gregory</t>
  </si>
  <si>
    <t xml:space="preserve">Gomez</t>
  </si>
  <si>
    <t xml:space="preserve">gregory.gomez14@example.com</t>
  </si>
  <si>
    <t xml:space="preserve">+1-479-368-5210</t>
  </si>
  <si>
    <t xml:space="preserve">New York</t>
  </si>
  <si>
    <t xml:space="preserve">New York City</t>
  </si>
  <si>
    <t xml:space="preserve">10001</t>
  </si>
  <si>
    <t xml:space="preserve">936 Sunset Blvd</t>
  </si>
  <si>
    <t xml:space="preserve">REF8894</t>
  </si>
  <si>
    <t xml:space="preserve">ORD200014</t>
  </si>
  <si>
    <t xml:space="preserve">04:48:14</t>
  </si>
  <si>
    <t xml:space="preserve">P6992</t>
  </si>
  <si>
    <t xml:space="preserve">Herbal Shampoo 500ml</t>
  </si>
  <si>
    <t xml:space="preserve">Nivea</t>
  </si>
  <si>
    <t xml:space="preserve">INV-2024-100014</t>
  </si>
  <si>
    <t xml:space="preserve">127 Elm St</t>
  </si>
  <si>
    <t xml:space="preserve">TRK904245086</t>
  </si>
  <si>
    <t xml:space="preserve">Instagram_NewYearSale</t>
  </si>
  <si>
    <t xml:space="preserve">CMP7242</t>
  </si>
  <si>
    <t xml:space="preserve">CUST10015</t>
  </si>
  <si>
    <t xml:space="preserve">Joshua</t>
  </si>
  <si>
    <t xml:space="preserve">Murphy</t>
  </si>
  <si>
    <t xml:space="preserve">joshua.murphy15@example.com</t>
  </si>
  <si>
    <t xml:space="preserve">+1-665-293-4475</t>
  </si>
  <si>
    <t xml:space="preserve">658 2nd Ave</t>
  </si>
  <si>
    <t xml:space="preserve">REF1349</t>
  </si>
  <si>
    <t xml:space="preserve">CUST10042</t>
  </si>
  <si>
    <t xml:space="preserve">ORD200015</t>
  </si>
  <si>
    <t xml:space="preserve">17:13:37</t>
  </si>
  <si>
    <t xml:space="preserve">P4817</t>
  </si>
  <si>
    <t xml:space="preserve">Dove</t>
  </si>
  <si>
    <t xml:space="preserve">Pending</t>
  </si>
  <si>
    <t xml:space="preserve">INV-2024-100015</t>
  </si>
  <si>
    <t xml:space="preserve">3 Maple Dr</t>
  </si>
  <si>
    <t xml:space="preserve">TRK680051935</t>
  </si>
  <si>
    <t xml:space="preserve">Facebook_WinterSale</t>
  </si>
  <si>
    <t xml:space="preserve">CMP2801</t>
  </si>
  <si>
    <t xml:space="preserve">SAVE10</t>
  </si>
  <si>
    <t xml:space="preserve">CUST10016</t>
  </si>
  <si>
    <t xml:space="preserve">Brandon</t>
  </si>
  <si>
    <t xml:space="preserve">Garcia</t>
  </si>
  <si>
    <t xml:space="preserve">brandon.garcia16@example.com</t>
  </si>
  <si>
    <t xml:space="preserve">+1-640-662-4743</t>
  </si>
  <si>
    <t xml:space="preserve">Australia</t>
  </si>
  <si>
    <t xml:space="preserve">New South Wales</t>
  </si>
  <si>
    <t xml:space="preserve">Sydney</t>
  </si>
  <si>
    <t xml:space="preserve">2000</t>
  </si>
  <si>
    <t xml:space="preserve">424 Maple Dr</t>
  </si>
  <si>
    <t xml:space="preserve">REF8430</t>
  </si>
  <si>
    <t xml:space="preserve">ORD200016</t>
  </si>
  <si>
    <t xml:space="preserve">04:43:59</t>
  </si>
  <si>
    <t xml:space="preserve">P2099</t>
  </si>
  <si>
    <t xml:space="preserve">Academic</t>
  </si>
  <si>
    <t xml:space="preserve">Oxford</t>
  </si>
  <si>
    <t xml:space="preserve">INV-2024-100016</t>
  </si>
  <si>
    <t xml:space="preserve">763 Maple Dr</t>
  </si>
  <si>
    <t xml:space="preserve">TRK164404084</t>
  </si>
  <si>
    <t xml:space="preserve">Organic_SummerSale</t>
  </si>
  <si>
    <t xml:space="preserve">CMP7730</t>
  </si>
  <si>
    <t xml:space="preserve">CUST10017</t>
  </si>
  <si>
    <t xml:space="preserve">Emily</t>
  </si>
  <si>
    <t xml:space="preserve">Kelly</t>
  </si>
  <si>
    <t xml:space="preserve">emily.kelly17@example.com</t>
  </si>
  <si>
    <t xml:space="preserve">+1-359-361-1815</t>
  </si>
  <si>
    <t xml:space="preserve">Chattogram</t>
  </si>
  <si>
    <t xml:space="preserve">4000</t>
  </si>
  <si>
    <t xml:space="preserve">691 Main St</t>
  </si>
  <si>
    <t xml:space="preserve">REF5458</t>
  </si>
  <si>
    <t xml:space="preserve">ORD200017</t>
  </si>
  <si>
    <t xml:space="preserve">16:07:22</t>
  </si>
  <si>
    <t xml:space="preserve">P2816</t>
  </si>
  <si>
    <t xml:space="preserve">Running Shoes</t>
  </si>
  <si>
    <t xml:space="preserve">INV-2024-100017</t>
  </si>
  <si>
    <t xml:space="preserve">684 Maple Dr</t>
  </si>
  <si>
    <t xml:space="preserve">TRK524410834</t>
  </si>
  <si>
    <t xml:space="preserve">CMP4349</t>
  </si>
  <si>
    <t xml:space="preserve">SAVE18</t>
  </si>
  <si>
    <t xml:space="preserve">CUST10018</t>
  </si>
  <si>
    <t xml:space="preserve">Ryan</t>
  </si>
  <si>
    <t xml:space="preserve">Martinez</t>
  </si>
  <si>
    <t xml:space="preserve">ryan.martinez18@example.com</t>
  </si>
  <si>
    <t xml:space="preserve">+1-559-944-3419</t>
  </si>
  <si>
    <t xml:space="preserve">Germany</t>
  </si>
  <si>
    <t xml:space="preserve">Berlin</t>
  </si>
  <si>
    <t xml:space="preserve">10115</t>
  </si>
  <si>
    <t xml:space="preserve">242 Main St</t>
  </si>
  <si>
    <t xml:space="preserve">REF3399</t>
  </si>
  <si>
    <t xml:space="preserve">CUST10022</t>
  </si>
  <si>
    <t xml:space="preserve">ORD200018</t>
  </si>
  <si>
    <t xml:space="preserve">15:29:48</t>
  </si>
  <si>
    <t xml:space="preserve">P6295</t>
  </si>
  <si>
    <t xml:space="preserve">Cuisinart</t>
  </si>
  <si>
    <t xml:space="preserve">INV-2024-100018</t>
  </si>
  <si>
    <t xml:space="preserve">70 Elm St</t>
  </si>
  <si>
    <t xml:space="preserve">TRK425150964</t>
  </si>
  <si>
    <t xml:space="preserve">CMP1920</t>
  </si>
  <si>
    <t xml:space="preserve">SAVE39</t>
  </si>
  <si>
    <t xml:space="preserve">CUST10019</t>
  </si>
  <si>
    <t xml:space="preserve">Nicholas</t>
  </si>
  <si>
    <t xml:space="preserve">Martin</t>
  </si>
  <si>
    <t xml:space="preserve">nicholas.martin19@example.com</t>
  </si>
  <si>
    <t xml:space="preserve">+1-541-283-3317</t>
  </si>
  <si>
    <t xml:space="preserve">Victoria</t>
  </si>
  <si>
    <t xml:space="preserve">Melbourne</t>
  </si>
  <si>
    <t xml:space="preserve">3000</t>
  </si>
  <si>
    <t xml:space="preserve">939 Maple Dr</t>
  </si>
  <si>
    <t xml:space="preserve">REF6082</t>
  </si>
  <si>
    <t xml:space="preserve">German</t>
  </si>
  <si>
    <t xml:space="preserve">ORD200019</t>
  </si>
  <si>
    <t xml:space="preserve">09:35:24</t>
  </si>
  <si>
    <t xml:space="preserve">P3093</t>
  </si>
  <si>
    <t xml:space="preserve">Footwear</t>
  </si>
  <si>
    <t xml:space="preserve">Adidas</t>
  </si>
  <si>
    <t xml:space="preserve">Refunded</t>
  </si>
  <si>
    <t xml:space="preserve">INV-2024-100019</t>
  </si>
  <si>
    <t xml:space="preserve">96 Elm St</t>
  </si>
  <si>
    <t xml:space="preserve">TRK119574893</t>
  </si>
  <si>
    <t xml:space="preserve">Organic_FlashSale</t>
  </si>
  <si>
    <t xml:space="preserve">CMP3953</t>
  </si>
  <si>
    <t xml:space="preserve">SAVE41</t>
  </si>
  <si>
    <t xml:space="preserve">CUST10020</t>
  </si>
  <si>
    <t xml:space="preserve">Nancy</t>
  </si>
  <si>
    <t xml:space="preserve">Castillo</t>
  </si>
  <si>
    <t xml:space="preserve">nancy.castillo20@example.com</t>
  </si>
  <si>
    <t xml:space="preserve">+1-491-285-3626</t>
  </si>
  <si>
    <t xml:space="preserve">280 Elm St</t>
  </si>
  <si>
    <t xml:space="preserve">REF9410</t>
  </si>
  <si>
    <t xml:space="preserve">CUST10055</t>
  </si>
  <si>
    <t xml:space="preserve">ORD200020</t>
  </si>
  <si>
    <t xml:space="preserve">00:26:03</t>
  </si>
  <si>
    <t xml:space="preserve">P9224</t>
  </si>
  <si>
    <t xml:space="preserve">INV-2024-100020</t>
  </si>
  <si>
    <t xml:space="preserve">230 Main St</t>
  </si>
  <si>
    <t xml:space="preserve">TRK867407868</t>
  </si>
  <si>
    <t xml:space="preserve">Email_WinterSale</t>
  </si>
  <si>
    <t xml:space="preserve">CMP3254</t>
  </si>
  <si>
    <t xml:space="preserve">CUST10021</t>
  </si>
  <si>
    <t xml:space="preserve">joshua.thomas21@example.com</t>
  </si>
  <si>
    <t xml:space="preserve">+1-582-459-1266</t>
  </si>
  <si>
    <t xml:space="preserve">366 Sunset Blvd</t>
  </si>
  <si>
    <t xml:space="preserve">REF2106</t>
  </si>
  <si>
    <t xml:space="preserve">ORD200021</t>
  </si>
  <si>
    <t xml:space="preserve">10:08:02</t>
  </si>
  <si>
    <t xml:space="preserve">P9945</t>
  </si>
  <si>
    <t xml:space="preserve">Electric Trimmer</t>
  </si>
  <si>
    <t xml:space="preserve">Skincare</t>
  </si>
  <si>
    <t xml:space="preserve">Gillette</t>
  </si>
  <si>
    <t xml:space="preserve">INV-2024-100021</t>
  </si>
  <si>
    <t xml:space="preserve">702 Elm St</t>
  </si>
  <si>
    <t xml:space="preserve">TRK295719504</t>
  </si>
  <si>
    <t xml:space="preserve">Facebook_SummerSale</t>
  </si>
  <si>
    <t xml:space="preserve">CMP8498</t>
  </si>
  <si>
    <t xml:space="preserve">SAVE22</t>
  </si>
  <si>
    <t xml:space="preserve">stephanie.myers22@example.com</t>
  </si>
  <si>
    <t xml:space="preserve">+1-481-854-1939</t>
  </si>
  <si>
    <t xml:space="preserve">Canada</t>
  </si>
  <si>
    <t xml:space="preserve">Ontario</t>
  </si>
  <si>
    <t xml:space="preserve">Toronto</t>
  </si>
  <si>
    <t xml:space="preserve">M5H2N2</t>
  </si>
  <si>
    <t xml:space="preserve">77 2nd Ave</t>
  </si>
  <si>
    <t xml:space="preserve">REF7655</t>
  </si>
  <si>
    <t xml:space="preserve">ORD200022</t>
  </si>
  <si>
    <t xml:space="preserve">19:43:50</t>
  </si>
  <si>
    <t xml:space="preserve">P1570</t>
  </si>
  <si>
    <t xml:space="preserve">Non-Stick Frying Pan</t>
  </si>
  <si>
    <t xml:space="preserve">Cookware</t>
  </si>
  <si>
    <t xml:space="preserve">HomeCenter</t>
  </si>
  <si>
    <t xml:space="preserve">INV-2024-100022</t>
  </si>
  <si>
    <t xml:space="preserve">371 Elm St</t>
  </si>
  <si>
    <t xml:space="preserve">TRK749715626</t>
  </si>
  <si>
    <t xml:space="preserve">CMP7077</t>
  </si>
  <si>
    <t xml:space="preserve">CUST10023</t>
  </si>
  <si>
    <t xml:space="preserve">Torres</t>
  </si>
  <si>
    <t xml:space="preserve">brandon.torres23@example.com</t>
  </si>
  <si>
    <t xml:space="preserve">+1-267-516-7523</t>
  </si>
  <si>
    <t xml:space="preserve">735 2nd Ave</t>
  </si>
  <si>
    <t xml:space="preserve">REF8842</t>
  </si>
  <si>
    <t xml:space="preserve">ORD200023</t>
  </si>
  <si>
    <t xml:space="preserve">02:28:29</t>
  </si>
  <si>
    <t xml:space="preserve">P3102</t>
  </si>
  <si>
    <t xml:space="preserve">Building Blocks Set 500pc</t>
  </si>
  <si>
    <t xml:space="preserve">Toys &amp; Games</t>
  </si>
  <si>
    <t xml:space="preserve">Puzzles</t>
  </si>
  <si>
    <t xml:space="preserve">Mattel</t>
  </si>
  <si>
    <t xml:space="preserve">INV-2024-100023</t>
  </si>
  <si>
    <t xml:space="preserve">787 Oak Ave</t>
  </si>
  <si>
    <t xml:space="preserve">TRK159499094</t>
  </si>
  <si>
    <t xml:space="preserve">CMP3507</t>
  </si>
  <si>
    <t xml:space="preserve">SAVE24</t>
  </si>
  <si>
    <t xml:space="preserve">CUST10024</t>
  </si>
  <si>
    <t xml:space="preserve">Richardson</t>
  </si>
  <si>
    <t xml:space="preserve">gregory.richardson24@example.com</t>
  </si>
  <si>
    <t xml:space="preserve">+1-951-553-7532</t>
  </si>
  <si>
    <t xml:space="preserve">134 Sunset Blvd</t>
  </si>
  <si>
    <t xml:space="preserve">REF7070</t>
  </si>
  <si>
    <t xml:space="preserve">ORD200024</t>
  </si>
  <si>
    <t xml:space="preserve">04:06:03</t>
  </si>
  <si>
    <t xml:space="preserve">P7293</t>
  </si>
  <si>
    <t xml:space="preserve">4K Action Camera</t>
  </si>
  <si>
    <t xml:space="preserve">INV-2024-100024</t>
  </si>
  <si>
    <t xml:space="preserve">924 Oak Ave</t>
  </si>
  <si>
    <t xml:space="preserve">TRK874305759</t>
  </si>
  <si>
    <t xml:space="preserve">Affiliate_WinterSale</t>
  </si>
  <si>
    <t xml:space="preserve">CMP3610</t>
  </si>
  <si>
    <t xml:space="preserve">CUST10025</t>
  </si>
  <si>
    <t xml:space="preserve">Sharon</t>
  </si>
  <si>
    <t xml:space="preserve">Moore</t>
  </si>
  <si>
    <t xml:space="preserve">sharon.moore25@example.com</t>
  </si>
  <si>
    <t xml:space="preserve">+1-340-930-6456</t>
  </si>
  <si>
    <t xml:space="preserve">824 Elm St</t>
  </si>
  <si>
    <t xml:space="preserve">REF9508</t>
  </si>
  <si>
    <t xml:space="preserve">ORD200025</t>
  </si>
  <si>
    <t xml:space="preserve">05:25:39</t>
  </si>
  <si>
    <t xml:space="preserve">P6511</t>
  </si>
  <si>
    <t xml:space="preserve">INV-2024-100025</t>
  </si>
  <si>
    <t xml:space="preserve">577 Maple Dr</t>
  </si>
  <si>
    <t xml:space="preserve">TRK495521185</t>
  </si>
  <si>
    <t xml:space="preserve">CMP7824</t>
  </si>
  <si>
    <t xml:space="preserve">CUST10026</t>
  </si>
  <si>
    <t xml:space="preserve">Debra</t>
  </si>
  <si>
    <t xml:space="preserve">Young</t>
  </si>
  <si>
    <t xml:space="preserve">debra.young26@example.com</t>
  </si>
  <si>
    <t xml:space="preserve">+1-824-695-4150</t>
  </si>
  <si>
    <t xml:space="preserve">British Columbia</t>
  </si>
  <si>
    <t xml:space="preserve">Vancouver</t>
  </si>
  <si>
    <t xml:space="preserve">V6B1A1</t>
  </si>
  <si>
    <t xml:space="preserve">981 Oak Ave</t>
  </si>
  <si>
    <t xml:space="preserve">REF5571</t>
  </si>
  <si>
    <t xml:space="preserve">ORD200026</t>
  </si>
  <si>
    <t xml:space="preserve">22:31:20</t>
  </si>
  <si>
    <t xml:space="preserve">P6714</t>
  </si>
  <si>
    <t xml:space="preserve">Graphic Novel Set</t>
  </si>
  <si>
    <t xml:space="preserve">INV-2024-100026</t>
  </si>
  <si>
    <t xml:space="preserve">588 Park Rd</t>
  </si>
  <si>
    <t xml:space="preserve">TRK978726109</t>
  </si>
  <si>
    <t xml:space="preserve">Referral_WinterSale</t>
  </si>
  <si>
    <t xml:space="preserve">CMP5758</t>
  </si>
  <si>
    <t xml:space="preserve">CUST10027</t>
  </si>
  <si>
    <t xml:space="preserve">Mark</t>
  </si>
  <si>
    <t xml:space="preserve">Brooks</t>
  </si>
  <si>
    <t xml:space="preserve">mark.brooks27@example.com</t>
  </si>
  <si>
    <t xml:space="preserve">+1-238-209-5888</t>
  </si>
  <si>
    <t xml:space="preserve">582 Park Rd</t>
  </si>
  <si>
    <t xml:space="preserve">REF2758</t>
  </si>
  <si>
    <t xml:space="preserve">ORD200027</t>
  </si>
  <si>
    <t xml:space="preserve">04:54:32</t>
  </si>
  <si>
    <t xml:space="preserve">P5470</t>
  </si>
  <si>
    <t xml:space="preserve">INV-2024-100027</t>
  </si>
  <si>
    <t xml:space="preserve">470 Maple Dr</t>
  </si>
  <si>
    <t xml:space="preserve">TRK890937440</t>
  </si>
  <si>
    <t xml:space="preserve">Email_FlashSale</t>
  </si>
  <si>
    <t xml:space="preserve">CMP4164</t>
  </si>
  <si>
    <t xml:space="preserve">CUST10028</t>
  </si>
  <si>
    <t xml:space="preserve">Howard</t>
  </si>
  <si>
    <t xml:space="preserve">joshua.howard28@example.com</t>
  </si>
  <si>
    <t xml:space="preserve">+1-657-740-6927</t>
  </si>
  <si>
    <t xml:space="preserve">Bavaria</t>
  </si>
  <si>
    <t xml:space="preserve">Munich</t>
  </si>
  <si>
    <t xml:space="preserve">80331</t>
  </si>
  <si>
    <t xml:space="preserve">80 Park Rd</t>
  </si>
  <si>
    <t xml:space="preserve">REF2838</t>
  </si>
  <si>
    <t xml:space="preserve">CUST10070</t>
  </si>
  <si>
    <t xml:space="preserve">ORD200028</t>
  </si>
  <si>
    <t xml:space="preserve">16:28:07</t>
  </si>
  <si>
    <t xml:space="preserve">P9008</t>
  </si>
  <si>
    <t xml:space="preserve">Cotton Bedsheet Set</t>
  </si>
  <si>
    <t xml:space="preserve">INV-2024-100028</t>
  </si>
  <si>
    <t xml:space="preserve">465 Oak Ave</t>
  </si>
  <si>
    <t xml:space="preserve">TRK590483627</t>
  </si>
  <si>
    <t xml:space="preserve">Organic_NewYearSale</t>
  </si>
  <si>
    <t xml:space="preserve">CMP8575</t>
  </si>
  <si>
    <t xml:space="preserve">SAVE11</t>
  </si>
  <si>
    <t xml:space="preserve">CUST10029</t>
  </si>
  <si>
    <t xml:space="preserve">Jerry</t>
  </si>
  <si>
    <t xml:space="preserve">Chavez</t>
  </si>
  <si>
    <t xml:space="preserve">jerry.chavez29@example.com</t>
  </si>
  <si>
    <t xml:space="preserve">+1-393-942-2848</t>
  </si>
  <si>
    <t xml:space="preserve">33 Sunset Blvd</t>
  </si>
  <si>
    <t xml:space="preserve">English</t>
  </si>
  <si>
    <t xml:space="preserve">ORD200029</t>
  </si>
  <si>
    <t xml:space="preserve">01:28:38</t>
  </si>
  <si>
    <t xml:space="preserve">P5009</t>
  </si>
  <si>
    <t xml:space="preserve">UltraSlim Laptop 14</t>
  </si>
  <si>
    <t xml:space="preserve">Samsung</t>
  </si>
  <si>
    <t xml:space="preserve">INV-2024-100029</t>
  </si>
  <si>
    <t xml:space="preserve">223 Main St</t>
  </si>
  <si>
    <t xml:space="preserve">TRK410594268</t>
  </si>
  <si>
    <t xml:space="preserve">Google_NewYearSale</t>
  </si>
  <si>
    <t xml:space="preserve">CMP6224</t>
  </si>
  <si>
    <t xml:space="preserve">CUST10030</t>
  </si>
  <si>
    <t xml:space="preserve">Bennett</t>
  </si>
  <si>
    <t xml:space="preserve">samuel.bennett30@example.com</t>
  </si>
  <si>
    <t xml:space="preserve">+1-252-474-7179</t>
  </si>
  <si>
    <t xml:space="preserve">France</t>
  </si>
  <si>
    <t xml:space="preserve">Ile-de-France</t>
  </si>
  <si>
    <t xml:space="preserve">Paris</t>
  </si>
  <si>
    <t xml:space="preserve">75001</t>
  </si>
  <si>
    <t xml:space="preserve">690 Park Rd</t>
  </si>
  <si>
    <t xml:space="preserve">REF1647</t>
  </si>
  <si>
    <t xml:space="preserve">ORD200030</t>
  </si>
  <si>
    <t xml:space="preserve">06:55:58</t>
  </si>
  <si>
    <t xml:space="preserve">P5967</t>
  </si>
  <si>
    <t xml:space="preserve">Strategy Board Game</t>
  </si>
  <si>
    <t xml:space="preserve">Outdoor Toys</t>
  </si>
  <si>
    <t xml:space="preserve">Fisher-Price</t>
  </si>
  <si>
    <t xml:space="preserve">INV-2024-100030</t>
  </si>
  <si>
    <t xml:space="preserve">986 Main St</t>
  </si>
  <si>
    <t xml:space="preserve">TRK846923032</t>
  </si>
  <si>
    <t xml:space="preserve">CMP4921</t>
  </si>
  <si>
    <t xml:space="preserve">CUST10031</t>
  </si>
  <si>
    <t xml:space="preserve">Patel</t>
  </si>
  <si>
    <t xml:space="preserve">mark.patel31@example.com</t>
  </si>
  <si>
    <t xml:space="preserve">+1-736-234-2217</t>
  </si>
  <si>
    <t xml:space="preserve">968 Sunset Blvd</t>
  </si>
  <si>
    <t xml:space="preserve">REF1794</t>
  </si>
  <si>
    <t xml:space="preserve">ORD200031</t>
  </si>
  <si>
    <t xml:space="preserve">06:32:29</t>
  </si>
  <si>
    <t xml:space="preserve">P1990</t>
  </si>
  <si>
    <t xml:space="preserve">Formal Shirt</t>
  </si>
  <si>
    <t xml:space="preserve">H&amp;M</t>
  </si>
  <si>
    <t xml:space="preserve">INV-2024-100031</t>
  </si>
  <si>
    <t xml:space="preserve">676 Elm St</t>
  </si>
  <si>
    <t xml:space="preserve">TRK671458801</t>
  </si>
  <si>
    <t xml:space="preserve">Instagram_SummerSale</t>
  </si>
  <si>
    <t xml:space="preserve">CMP1274</t>
  </si>
  <si>
    <t xml:space="preserve">SAVE28</t>
  </si>
  <si>
    <t xml:space="preserve">CUST10032</t>
  </si>
  <si>
    <t xml:space="preserve">Collins</t>
  </si>
  <si>
    <t xml:space="preserve">stephanie.collins32@example.com</t>
  </si>
  <si>
    <t xml:space="preserve">+1-756-777-1539</t>
  </si>
  <si>
    <t xml:space="preserve">184 Sunset Blvd</t>
  </si>
  <si>
    <t xml:space="preserve">REF6152</t>
  </si>
  <si>
    <t xml:space="preserve">ORD200032</t>
  </si>
  <si>
    <t xml:space="preserve">05:36:15</t>
  </si>
  <si>
    <t xml:space="preserve">P9856</t>
  </si>
  <si>
    <t xml:space="preserve">INV-2024-100032</t>
  </si>
  <si>
    <t xml:space="preserve">742 Main St</t>
  </si>
  <si>
    <t xml:space="preserve">TRK471363809</t>
  </si>
  <si>
    <t xml:space="preserve">CMP8161</t>
  </si>
  <si>
    <t xml:space="preserve">SAVE48</t>
  </si>
  <si>
    <t xml:space="preserve">CUST10033</t>
  </si>
  <si>
    <t xml:space="preserve">jerry.richardson33@example.com</t>
  </si>
  <si>
    <t xml:space="preserve">+1-594-212-5781</t>
  </si>
  <si>
    <t xml:space="preserve">Texas</t>
  </si>
  <si>
    <t xml:space="preserve">Houston</t>
  </si>
  <si>
    <t xml:space="preserve">77001</t>
  </si>
  <si>
    <t xml:space="preserve">424 Elm St</t>
  </si>
  <si>
    <t xml:space="preserve">REF2387</t>
  </si>
  <si>
    <t xml:space="preserve">ORD200033</t>
  </si>
  <si>
    <t xml:space="preserve">05:08:17</t>
  </si>
  <si>
    <t xml:space="preserve">P5397</t>
  </si>
  <si>
    <t xml:space="preserve">1000pc Jigsaw Puzzle</t>
  </si>
  <si>
    <t xml:space="preserve">Board Games</t>
  </si>
  <si>
    <t xml:space="preserve">INV-2024-100033</t>
  </si>
  <si>
    <t xml:space="preserve">432 Maple Dr</t>
  </si>
  <si>
    <t xml:space="preserve">TRK487754927</t>
  </si>
  <si>
    <t xml:space="preserve">CMP9123</t>
  </si>
  <si>
    <t xml:space="preserve">SAVE16</t>
  </si>
  <si>
    <t xml:space="preserve">CUST10034</t>
  </si>
  <si>
    <t xml:space="preserve">Kenneth</t>
  </si>
  <si>
    <t xml:space="preserve">Thompson</t>
  </si>
  <si>
    <t xml:space="preserve">kenneth.thompson34@example.com</t>
  </si>
  <si>
    <t xml:space="preserve">+1-275-659-8851</t>
  </si>
  <si>
    <t xml:space="preserve">India</t>
  </si>
  <si>
    <t xml:space="preserve">Delhi</t>
  </si>
  <si>
    <t xml:space="preserve">New Delhi</t>
  </si>
  <si>
    <t xml:space="preserve">110001</t>
  </si>
  <si>
    <t xml:space="preserve">597 Elm St</t>
  </si>
  <si>
    <t xml:space="preserve">REF9755</t>
  </si>
  <si>
    <t xml:space="preserve">ORD200034</t>
  </si>
  <si>
    <t xml:space="preserve">11:44:57</t>
  </si>
  <si>
    <t xml:space="preserve">P2791</t>
  </si>
  <si>
    <t xml:space="preserve">INV-2024-100034</t>
  </si>
  <si>
    <t xml:space="preserve">663 Park Rd</t>
  </si>
  <si>
    <t xml:space="preserve">TRK792596980</t>
  </si>
  <si>
    <t xml:space="preserve">Changed Mind</t>
  </si>
  <si>
    <t xml:space="preserve">Affiliate_SummerSale</t>
  </si>
  <si>
    <t xml:space="preserve">CMP1172</t>
  </si>
  <si>
    <t xml:space="preserve">SAVE43</t>
  </si>
  <si>
    <t xml:space="preserve">iOS</t>
  </si>
  <si>
    <t xml:space="preserve">CUST10035</t>
  </si>
  <si>
    <t xml:space="preserve">Carolyn</t>
  </si>
  <si>
    <t xml:space="preserve">Jackson</t>
  </si>
  <si>
    <t xml:space="preserve">carolyn.jackson35@example.com</t>
  </si>
  <si>
    <t xml:space="preserve">+1-605-229-4232</t>
  </si>
  <si>
    <t xml:space="preserve">461 Park Rd</t>
  </si>
  <si>
    <t xml:space="preserve">REF8037</t>
  </si>
  <si>
    <t xml:space="preserve">ORD200035</t>
  </si>
  <si>
    <t xml:space="preserve">02:36:06</t>
  </si>
  <si>
    <t xml:space="preserve">P6993</t>
  </si>
  <si>
    <t xml:space="preserve">Scholastic</t>
  </si>
  <si>
    <t xml:space="preserve">INV-2024-100035</t>
  </si>
  <si>
    <t xml:space="preserve">884 Elm St</t>
  </si>
  <si>
    <t xml:space="preserve">TRK436515102</t>
  </si>
  <si>
    <t xml:space="preserve">Email_NewYearSale</t>
  </si>
  <si>
    <t xml:space="preserve">CMP7431</t>
  </si>
  <si>
    <t xml:space="preserve">CUST10036</t>
  </si>
  <si>
    <t xml:space="preserve">Deborah</t>
  </si>
  <si>
    <t xml:space="preserve">deborah.diaz36@example.com</t>
  </si>
  <si>
    <t xml:space="preserve">+1-233-481-4683</t>
  </si>
  <si>
    <t xml:space="preserve">551 Maple Dr</t>
  </si>
  <si>
    <t xml:space="preserve">REF3755</t>
  </si>
  <si>
    <t xml:space="preserve">ORD200036</t>
  </si>
  <si>
    <t xml:space="preserve">08:49:34</t>
  </si>
  <si>
    <t xml:space="preserve">P9880</t>
  </si>
  <si>
    <t xml:space="preserve">INV-2024-100036</t>
  </si>
  <si>
    <t xml:space="preserve">560 Oak Ave</t>
  </si>
  <si>
    <t xml:space="preserve">TRK890261845</t>
  </si>
  <si>
    <t xml:space="preserve">CMP1528</t>
  </si>
  <si>
    <t xml:space="preserve">SAVE15</t>
  </si>
  <si>
    <t xml:space="preserve">CUST10037</t>
  </si>
  <si>
    <t xml:space="preserve">Adams</t>
  </si>
  <si>
    <t xml:space="preserve">nancy.adams37@example.com</t>
  </si>
  <si>
    <t xml:space="preserve">+1-665-699-6362</t>
  </si>
  <si>
    <t xml:space="preserve">596 Main St</t>
  </si>
  <si>
    <t xml:space="preserve">Platinum</t>
  </si>
  <si>
    <t xml:space="preserve">REF2526</t>
  </si>
  <si>
    <t xml:space="preserve">ORD200037</t>
  </si>
  <si>
    <t xml:space="preserve">17:25:13</t>
  </si>
  <si>
    <t xml:space="preserve">P4470</t>
  </si>
  <si>
    <t xml:space="preserve">Educational</t>
  </si>
  <si>
    <t xml:space="preserve">Hasbro</t>
  </si>
  <si>
    <t xml:space="preserve">INV-2024-100037</t>
  </si>
  <si>
    <t xml:space="preserve">561 Park Rd</t>
  </si>
  <si>
    <t xml:space="preserve">TRK621127607</t>
  </si>
  <si>
    <t xml:space="preserve">CMP1752</t>
  </si>
  <si>
    <t xml:space="preserve">CUST10038</t>
  </si>
  <si>
    <t xml:space="preserve">Christine</t>
  </si>
  <si>
    <t xml:space="preserve">Wood</t>
  </si>
  <si>
    <t xml:space="preserve">christine.wood38@example.com</t>
  </si>
  <si>
    <t xml:space="preserve">+1-591-992-3181</t>
  </si>
  <si>
    <t xml:space="preserve">657 2nd Ave</t>
  </si>
  <si>
    <t xml:space="preserve">REF3340</t>
  </si>
  <si>
    <t xml:space="preserve">CUST10072</t>
  </si>
  <si>
    <t xml:space="preserve">ORD200038</t>
  </si>
  <si>
    <t xml:space="preserve">20:47:09</t>
  </si>
  <si>
    <t xml:space="preserve">P8248</t>
  </si>
  <si>
    <t xml:space="preserve">Smartphones</t>
  </si>
  <si>
    <t xml:space="preserve">INV-2024-100038</t>
  </si>
  <si>
    <t xml:space="preserve">771 Main St</t>
  </si>
  <si>
    <t xml:space="preserve">TRK512351122</t>
  </si>
  <si>
    <t xml:space="preserve">CMP6152</t>
  </si>
  <si>
    <t xml:space="preserve">CUST10039</t>
  </si>
  <si>
    <t xml:space="preserve">Joseph</t>
  </si>
  <si>
    <t xml:space="preserve">Walker</t>
  </si>
  <si>
    <t xml:space="preserve">joseph.walker39@example.com</t>
  </si>
  <si>
    <t xml:space="preserve">+1-484-285-6077</t>
  </si>
  <si>
    <t xml:space="preserve">81 Park Rd</t>
  </si>
  <si>
    <t xml:space="preserve">REF4329</t>
  </si>
  <si>
    <t xml:space="preserve">ORD200039</t>
  </si>
  <si>
    <t xml:space="preserve">20:43:41</t>
  </si>
  <si>
    <t xml:space="preserve">P6081</t>
  </si>
  <si>
    <t xml:space="preserve">Children's Picture Book</t>
  </si>
  <si>
    <t xml:space="preserve">Comics</t>
  </si>
  <si>
    <t xml:space="preserve">INV-2024-100039</t>
  </si>
  <si>
    <t xml:space="preserve">60 Oak Ave</t>
  </si>
  <si>
    <t xml:space="preserve">TRK224539647</t>
  </si>
  <si>
    <t xml:space="preserve">Wrong Size</t>
  </si>
  <si>
    <t xml:space="preserve">CMP2956</t>
  </si>
  <si>
    <t xml:space="preserve">CUST10040</t>
  </si>
  <si>
    <t xml:space="preserve">Brenda</t>
  </si>
  <si>
    <t xml:space="preserve">Watson</t>
  </si>
  <si>
    <t xml:space="preserve">brenda.watson40@example.com</t>
  </si>
  <si>
    <t xml:space="preserve">+1-937-527-5444</t>
  </si>
  <si>
    <t xml:space="preserve">846 Main St</t>
  </si>
  <si>
    <t xml:space="preserve">REF7108</t>
  </si>
  <si>
    <t xml:space="preserve">CUST10086</t>
  </si>
  <si>
    <t xml:space="preserve">ORD200040</t>
  </si>
  <si>
    <t xml:space="preserve">12:04:56</t>
  </si>
  <si>
    <t xml:space="preserve">P5625</t>
  </si>
  <si>
    <t xml:space="preserve">INV-2024-100040</t>
  </si>
  <si>
    <t xml:space="preserve">468 Main St</t>
  </si>
  <si>
    <t xml:space="preserve">TRK413097844</t>
  </si>
  <si>
    <t xml:space="preserve">YouTube_NewYearSale</t>
  </si>
  <si>
    <t xml:space="preserve">CMP4974</t>
  </si>
  <si>
    <t xml:space="preserve">CUST10041</t>
  </si>
  <si>
    <t xml:space="preserve">Timothy</t>
  </si>
  <si>
    <t xml:space="preserve">timothy.patel41@example.com</t>
  </si>
  <si>
    <t xml:space="preserve">+1-602-917-6345</t>
  </si>
  <si>
    <t xml:space="preserve">326 Elm St</t>
  </si>
  <si>
    <t xml:space="preserve">REF5455</t>
  </si>
  <si>
    <t xml:space="preserve">ORD200041</t>
  </si>
  <si>
    <t xml:space="preserve">14:20:26</t>
  </si>
  <si>
    <t xml:space="preserve">P9780</t>
  </si>
  <si>
    <t xml:space="preserve">Yoga Mat Premium</t>
  </si>
  <si>
    <t xml:space="preserve">Decathlon</t>
  </si>
  <si>
    <t xml:space="preserve">INV-2024-100041</t>
  </si>
  <si>
    <t xml:space="preserve">272 Main St</t>
  </si>
  <si>
    <t xml:space="preserve">TRK967150570</t>
  </si>
  <si>
    <t xml:space="preserve">Defective Item</t>
  </si>
  <si>
    <t xml:space="preserve">CMP6370</t>
  </si>
  <si>
    <t xml:space="preserve">Linda</t>
  </si>
  <si>
    <t xml:space="preserve">Jimenez</t>
  </si>
  <si>
    <t xml:space="preserve">linda.jimenez42@example.com</t>
  </si>
  <si>
    <t xml:space="preserve">+1-391-481-5585</t>
  </si>
  <si>
    <t xml:space="preserve">457 Oak Ave</t>
  </si>
  <si>
    <t xml:space="preserve">REF1567</t>
  </si>
  <si>
    <t xml:space="preserve">ORD200042</t>
  </si>
  <si>
    <t xml:space="preserve">15:03:05</t>
  </si>
  <si>
    <t xml:space="preserve">P7275</t>
  </si>
  <si>
    <t xml:space="preserve">INV-2024-100042</t>
  </si>
  <si>
    <t xml:space="preserve">539 Oak Ave</t>
  </si>
  <si>
    <t xml:space="preserve">TRK510704185</t>
  </si>
  <si>
    <t xml:space="preserve">CMP9231</t>
  </si>
  <si>
    <t xml:space="preserve">CUST10043</t>
  </si>
  <si>
    <t xml:space="preserve">Rivera</t>
  </si>
  <si>
    <t xml:space="preserve">deborah.rivera43@example.com</t>
  </si>
  <si>
    <t xml:space="preserve">+1-260-222-3420</t>
  </si>
  <si>
    <t xml:space="preserve">601 2nd Ave</t>
  </si>
  <si>
    <t xml:space="preserve">REF3320</t>
  </si>
  <si>
    <t xml:space="preserve">ORD200043</t>
  </si>
  <si>
    <t xml:space="preserve">12:37:06</t>
  </si>
  <si>
    <t xml:space="preserve">P5944</t>
  </si>
  <si>
    <t xml:space="preserve">Basketball Pro</t>
  </si>
  <si>
    <t xml:space="preserve">INV-2024-100043</t>
  </si>
  <si>
    <t xml:space="preserve">811 Elm St</t>
  </si>
  <si>
    <t xml:space="preserve">TRK859331874</t>
  </si>
  <si>
    <t xml:space="preserve">Opened - Like New</t>
  </si>
  <si>
    <t xml:space="preserve">Google_HolidaySale</t>
  </si>
  <si>
    <t xml:space="preserve">CMP6026</t>
  </si>
  <si>
    <t xml:space="preserve">SAVE21</t>
  </si>
  <si>
    <t xml:space="preserve">CUST10044</t>
  </si>
  <si>
    <t xml:space="preserve">Perez</t>
  </si>
  <si>
    <t xml:space="preserve">kenneth.perez44@example.com</t>
  </si>
  <si>
    <t xml:space="preserve">+1-501-220-6221</t>
  </si>
  <si>
    <t xml:space="preserve">268 Main St</t>
  </si>
  <si>
    <t xml:space="preserve">REF2215</t>
  </si>
  <si>
    <t xml:space="preserve">ORD200044</t>
  </si>
  <si>
    <t xml:space="preserve">02:21:38</t>
  </si>
  <si>
    <t xml:space="preserve">P1507</t>
  </si>
  <si>
    <t xml:space="preserve">Fitness</t>
  </si>
  <si>
    <t xml:space="preserve">Wilson</t>
  </si>
  <si>
    <t xml:space="preserve">INV-2024-100044</t>
  </si>
  <si>
    <t xml:space="preserve">161 Main St</t>
  </si>
  <si>
    <t xml:space="preserve">TRK320708138</t>
  </si>
  <si>
    <t xml:space="preserve">CMP9849</t>
  </si>
  <si>
    <t xml:space="preserve">CUST10045</t>
  </si>
  <si>
    <t xml:space="preserve">Donna</t>
  </si>
  <si>
    <t xml:space="preserve">Hernandez</t>
  </si>
  <si>
    <t xml:space="preserve">donna.hernandez45@example.com</t>
  </si>
  <si>
    <t xml:space="preserve">+1-974-803-4727</t>
  </si>
  <si>
    <t xml:space="preserve">567 Main St</t>
  </si>
  <si>
    <t xml:space="preserve">REF7342</t>
  </si>
  <si>
    <t xml:space="preserve">ORD200045</t>
  </si>
  <si>
    <t xml:space="preserve">07:30:19</t>
  </si>
  <si>
    <t xml:space="preserve">P7468</t>
  </si>
  <si>
    <t xml:space="preserve">Yoga</t>
  </si>
  <si>
    <t xml:space="preserve">Coleman</t>
  </si>
  <si>
    <t xml:space="preserve">INV-2024-100045</t>
  </si>
  <si>
    <t xml:space="preserve">923 Park Rd</t>
  </si>
  <si>
    <t xml:space="preserve">TRK766013190</t>
  </si>
  <si>
    <t xml:space="preserve">CMP8357</t>
  </si>
  <si>
    <t xml:space="preserve">CUST10046</t>
  </si>
  <si>
    <t xml:space="preserve">Gutierrez</t>
  </si>
  <si>
    <t xml:space="preserve">emily.gutierrez46@example.com</t>
  </si>
  <si>
    <t xml:space="preserve">+1-239-605-6431</t>
  </si>
  <si>
    <t xml:space="preserve">708 Oak Ave</t>
  </si>
  <si>
    <t xml:space="preserve">REF1807</t>
  </si>
  <si>
    <t xml:space="preserve">ORD200046</t>
  </si>
  <si>
    <t xml:space="preserve">09:17:53</t>
  </si>
  <si>
    <t xml:space="preserve">P2609</t>
  </si>
  <si>
    <t xml:space="preserve">Women's Wear</t>
  </si>
  <si>
    <t xml:space="preserve">INV-2024-100046</t>
  </si>
  <si>
    <t xml:space="preserve">454 Maple Dr</t>
  </si>
  <si>
    <t xml:space="preserve">TRK547506309</t>
  </si>
  <si>
    <t xml:space="preserve">CMP8237</t>
  </si>
  <si>
    <t xml:space="preserve">CUST10047</t>
  </si>
  <si>
    <t xml:space="preserve">Ashley</t>
  </si>
  <si>
    <t xml:space="preserve">Jones</t>
  </si>
  <si>
    <t xml:space="preserve">ashley.jones47@example.com</t>
  </si>
  <si>
    <t xml:space="preserve">+1-725-220-1145</t>
  </si>
  <si>
    <t xml:space="preserve">486 Oak Ave</t>
  </si>
  <si>
    <t xml:space="preserve">REF3837</t>
  </si>
  <si>
    <t xml:space="preserve">ORD200047</t>
  </si>
  <si>
    <t xml:space="preserve">22:41:17</t>
  </si>
  <si>
    <t xml:space="preserve">P7168</t>
  </si>
  <si>
    <t xml:space="preserve">Self-Help Guide</t>
  </si>
  <si>
    <t xml:space="preserve">Fiction</t>
  </si>
  <si>
    <t xml:space="preserve">Penguin</t>
  </si>
  <si>
    <t xml:space="preserve">INV-2024-100047</t>
  </si>
  <si>
    <t xml:space="preserve">310 Park Rd</t>
  </si>
  <si>
    <t xml:space="preserve">TRK727588309</t>
  </si>
  <si>
    <t xml:space="preserve">CMP9380</t>
  </si>
  <si>
    <t xml:space="preserve">CUST10048</t>
  </si>
  <si>
    <t xml:space="preserve">Karen</t>
  </si>
  <si>
    <t xml:space="preserve">karen.gutierrez48@example.com</t>
  </si>
  <si>
    <t xml:space="preserve">+1-896-543-2463</t>
  </si>
  <si>
    <t xml:space="preserve">228 Maple Dr</t>
  </si>
  <si>
    <t xml:space="preserve">REF4659</t>
  </si>
  <si>
    <t xml:space="preserve">ORD200048</t>
  </si>
  <si>
    <t xml:space="preserve">03:30:03</t>
  </si>
  <si>
    <t xml:space="preserve">P8736</t>
  </si>
  <si>
    <t xml:space="preserve">INV-2024-100048</t>
  </si>
  <si>
    <t xml:space="preserve">391 Park Rd</t>
  </si>
  <si>
    <t xml:space="preserve">TRK158048598</t>
  </si>
  <si>
    <t xml:space="preserve">YouTube_WinterSale</t>
  </si>
  <si>
    <t xml:space="preserve">CMP4281</t>
  </si>
  <si>
    <t xml:space="preserve">CUST10049</t>
  </si>
  <si>
    <t xml:space="preserve">Christopher</t>
  </si>
  <si>
    <t xml:space="preserve">Morales</t>
  </si>
  <si>
    <t xml:space="preserve">christopher.morales49@example.com</t>
  </si>
  <si>
    <t xml:space="preserve">+1-945-732-9587</t>
  </si>
  <si>
    <t xml:space="preserve">346 Elm St</t>
  </si>
  <si>
    <t xml:space="preserve">REF3192</t>
  </si>
  <si>
    <t xml:space="preserve">ORD200049</t>
  </si>
  <si>
    <t xml:space="preserve">12:01:14</t>
  </si>
  <si>
    <t xml:space="preserve">P3149</t>
  </si>
  <si>
    <t xml:space="preserve">INV-2024-100049</t>
  </si>
  <si>
    <t xml:space="preserve">127 Maple Dr</t>
  </si>
  <si>
    <t xml:space="preserve">TRK787539531</t>
  </si>
  <si>
    <t xml:space="preserve">Late Delivery</t>
  </si>
  <si>
    <t xml:space="preserve">CMP1785</t>
  </si>
  <si>
    <t xml:space="preserve">CUST10050</t>
  </si>
  <si>
    <t xml:space="preserve">Rachel</t>
  </si>
  <si>
    <t xml:space="preserve">rachel.moore50@example.com</t>
  </si>
  <si>
    <t xml:space="preserve">+1-940-940-2659</t>
  </si>
  <si>
    <t xml:space="preserve">927 Maple Dr</t>
  </si>
  <si>
    <t xml:space="preserve">REF4787</t>
  </si>
  <si>
    <t xml:space="preserve">Suspended</t>
  </si>
  <si>
    <t xml:space="preserve">ORD200050</t>
  </si>
  <si>
    <t xml:space="preserve">01:54:18</t>
  </si>
  <si>
    <t xml:space="preserve">P6123</t>
  </si>
  <si>
    <t xml:space="preserve">Accessories</t>
  </si>
  <si>
    <t xml:space="preserve">INV-2024-100050</t>
  </si>
  <si>
    <t xml:space="preserve">912 Main St</t>
  </si>
  <si>
    <t xml:space="preserve">TRK812272035</t>
  </si>
  <si>
    <t xml:space="preserve">CMP6857</t>
  </si>
  <si>
    <t xml:space="preserve">CUST10051</t>
  </si>
  <si>
    <t xml:space="preserve">christopher.wilson51@example.com</t>
  </si>
  <si>
    <t xml:space="preserve">+1-554-879-7305</t>
  </si>
  <si>
    <t xml:space="preserve">153 Sunset Blvd</t>
  </si>
  <si>
    <t xml:space="preserve">REF1894</t>
  </si>
  <si>
    <t xml:space="preserve">ORD200051</t>
  </si>
  <si>
    <t xml:space="preserve">15:20:15</t>
  </si>
  <si>
    <t xml:space="preserve">P5557</t>
  </si>
  <si>
    <t xml:space="preserve">INV-2024-100051</t>
  </si>
  <si>
    <t xml:space="preserve">413 Oak Ave</t>
  </si>
  <si>
    <t xml:space="preserve">TRK576944168</t>
  </si>
  <si>
    <t xml:space="preserve">CMP9166</t>
  </si>
  <si>
    <t xml:space="preserve">CUST10052</t>
  </si>
  <si>
    <t xml:space="preserve">mark.collins52@example.com</t>
  </si>
  <si>
    <t xml:space="preserve">+1-975-624-1761</t>
  </si>
  <si>
    <t xml:space="preserve">949 2nd Ave</t>
  </si>
  <si>
    <t xml:space="preserve">REF3018</t>
  </si>
  <si>
    <t xml:space="preserve">ORD200052</t>
  </si>
  <si>
    <t xml:space="preserve">15:00:33</t>
  </si>
  <si>
    <t xml:space="preserve">P8091</t>
  </si>
  <si>
    <t xml:space="preserve">INV-2024-100052</t>
  </si>
  <si>
    <t xml:space="preserve">944 Oak Ave</t>
  </si>
  <si>
    <t xml:space="preserve">TRK884362665</t>
  </si>
  <si>
    <t xml:space="preserve">Referral_NewYearSale</t>
  </si>
  <si>
    <t xml:space="preserve">CMP7302</t>
  </si>
  <si>
    <t xml:space="preserve">CUST10053</t>
  </si>
  <si>
    <t xml:space="preserve">Clark</t>
  </si>
  <si>
    <t xml:space="preserve">betty.clark53@example.com</t>
  </si>
  <si>
    <t xml:space="preserve">+1-349-263-5835</t>
  </si>
  <si>
    <t xml:space="preserve">209 Sunset Blvd</t>
  </si>
  <si>
    <t xml:space="preserve">REF9866</t>
  </si>
  <si>
    <t xml:space="preserve">CUST10057</t>
  </si>
  <si>
    <t xml:space="preserve">ORD200053</t>
  </si>
  <si>
    <t xml:space="preserve">20:35:24</t>
  </si>
  <si>
    <t xml:space="preserve">P9370</t>
  </si>
  <si>
    <t xml:space="preserve">Matte Lipstick</t>
  </si>
  <si>
    <t xml:space="preserve">INV-2024-100053</t>
  </si>
  <si>
    <t xml:space="preserve">49 Elm St</t>
  </si>
  <si>
    <t xml:space="preserve">TRK946228305</t>
  </si>
  <si>
    <t xml:space="preserve">Facebook_NewYearSale</t>
  </si>
  <si>
    <t xml:space="preserve">CMP1881</t>
  </si>
  <si>
    <t xml:space="preserve">SAVE49</t>
  </si>
  <si>
    <t xml:space="preserve">CUST10054</t>
  </si>
  <si>
    <t xml:space="preserve">Daniel</t>
  </si>
  <si>
    <t xml:space="preserve">daniel.patel54@example.com</t>
  </si>
  <si>
    <t xml:space="preserve">+1-363-625-9897</t>
  </si>
  <si>
    <t xml:space="preserve">550 Elm St</t>
  </si>
  <si>
    <t xml:space="preserve">REF2506</t>
  </si>
  <si>
    <t xml:space="preserve">ORD200054</t>
  </si>
  <si>
    <t xml:space="preserve">19:33:30</t>
  </si>
  <si>
    <t xml:space="preserve">P2879</t>
  </si>
  <si>
    <t xml:space="preserve">INV-2024-100054</t>
  </si>
  <si>
    <t xml:space="preserve">629 Park Rd</t>
  </si>
  <si>
    <t xml:space="preserve">TRK832883943</t>
  </si>
  <si>
    <t xml:space="preserve">CMP5203</t>
  </si>
  <si>
    <t xml:space="preserve">Benjamin</t>
  </si>
  <si>
    <t xml:space="preserve">benjamin.jimenez55@example.com</t>
  </si>
  <si>
    <t xml:space="preserve">+1-974-963-1745</t>
  </si>
  <si>
    <t xml:space="preserve">Illinois</t>
  </si>
  <si>
    <t xml:space="preserve">Chicago</t>
  </si>
  <si>
    <t xml:space="preserve">60601</t>
  </si>
  <si>
    <t xml:space="preserve">718 Sunset Blvd</t>
  </si>
  <si>
    <t xml:space="preserve">REF2189</t>
  </si>
  <si>
    <t xml:space="preserve">ORD200055</t>
  </si>
  <si>
    <t xml:space="preserve">09:48:59</t>
  </si>
  <si>
    <t xml:space="preserve">P7249</t>
  </si>
  <si>
    <t xml:space="preserve">Action Figures</t>
  </si>
  <si>
    <t xml:space="preserve">Lego</t>
  </si>
  <si>
    <t xml:space="preserve">INV-2024-100055</t>
  </si>
  <si>
    <t xml:space="preserve">547 Oak Ave</t>
  </si>
  <si>
    <t xml:space="preserve">TRK519825069</t>
  </si>
  <si>
    <t xml:space="preserve">CMP5883</t>
  </si>
  <si>
    <t xml:space="preserve">CUST10056</t>
  </si>
  <si>
    <t xml:space="preserve">jack.castillo56@example.com</t>
  </si>
  <si>
    <t xml:space="preserve">+1-525-697-8383</t>
  </si>
  <si>
    <t xml:space="preserve">337 Park Rd</t>
  </si>
  <si>
    <t xml:space="preserve">REF6008</t>
  </si>
  <si>
    <t xml:space="preserve">ORD200056</t>
  </si>
  <si>
    <t xml:space="preserve">05:00:20</t>
  </si>
  <si>
    <t xml:space="preserve">P4629</t>
  </si>
  <si>
    <t xml:space="preserve">INV-2024-100056</t>
  </si>
  <si>
    <t xml:space="preserve">369 Oak Ave</t>
  </si>
  <si>
    <t xml:space="preserve">TRK596979657</t>
  </si>
  <si>
    <t xml:space="preserve">CMP6004</t>
  </si>
  <si>
    <t xml:space="preserve">Pamela</t>
  </si>
  <si>
    <t xml:space="preserve">Ramirez</t>
  </si>
  <si>
    <t xml:space="preserve">pamela.ramirez57@example.com</t>
  </si>
  <si>
    <t xml:space="preserve">+1-437-264-5331</t>
  </si>
  <si>
    <t xml:space="preserve">379 Oak Ave</t>
  </si>
  <si>
    <t xml:space="preserve">REF1701</t>
  </si>
  <si>
    <t xml:space="preserve">ORD200057</t>
  </si>
  <si>
    <t xml:space="preserve">01:02:41</t>
  </si>
  <si>
    <t xml:space="preserve">P2691</t>
  </si>
  <si>
    <t xml:space="preserve">Marvel</t>
  </si>
  <si>
    <t xml:space="preserve">INV-2024-100057</t>
  </si>
  <si>
    <t xml:space="preserve">855 Maple Dr</t>
  </si>
  <si>
    <t xml:space="preserve">TRK712204801</t>
  </si>
  <si>
    <t xml:space="preserve">CMP7201</t>
  </si>
  <si>
    <t xml:space="preserve">CUST10058</t>
  </si>
  <si>
    <t xml:space="preserve">emily.ramirez58@example.com</t>
  </si>
  <si>
    <t xml:space="preserve">+1-936-945-5644</t>
  </si>
  <si>
    <t xml:space="preserve">970 Main St</t>
  </si>
  <si>
    <t xml:space="preserve">REF4548</t>
  </si>
  <si>
    <t xml:space="preserve">ORD200058</t>
  </si>
  <si>
    <t xml:space="preserve">04:50:37</t>
  </si>
  <si>
    <t xml:space="preserve">P9369</t>
  </si>
  <si>
    <t xml:space="preserve">INV-2024-100058</t>
  </si>
  <si>
    <t xml:space="preserve">611 Park Rd</t>
  </si>
  <si>
    <t xml:space="preserve">TRK506101350</t>
  </si>
  <si>
    <t xml:space="preserve">CMP2778</t>
  </si>
  <si>
    <t xml:space="preserve">CUST10059</t>
  </si>
  <si>
    <t xml:space="preserve">Helen</t>
  </si>
  <si>
    <t xml:space="preserve">Smith</t>
  </si>
  <si>
    <t xml:space="preserve">helen.smith59@example.com</t>
  </si>
  <si>
    <t xml:space="preserve">+1-618-570-2746</t>
  </si>
  <si>
    <t xml:space="preserve">159 Elm St</t>
  </si>
  <si>
    <t xml:space="preserve">REF5155</t>
  </si>
  <si>
    <t xml:space="preserve">CUST10068</t>
  </si>
  <si>
    <t xml:space="preserve">ORD200059</t>
  </si>
  <si>
    <t xml:space="preserve">06:26:35</t>
  </si>
  <si>
    <t xml:space="preserve">P3928</t>
  </si>
  <si>
    <t xml:space="preserve">INV-2024-100059</t>
  </si>
  <si>
    <t xml:space="preserve">592 Maple Dr</t>
  </si>
  <si>
    <t xml:space="preserve">TRK248249943</t>
  </si>
  <si>
    <t xml:space="preserve">CMP8317</t>
  </si>
  <si>
    <t xml:space="preserve">CUST10060</t>
  </si>
  <si>
    <t xml:space="preserve">David</t>
  </si>
  <si>
    <t xml:space="preserve">King</t>
  </si>
  <si>
    <t xml:space="preserve">david.king60@example.com</t>
  </si>
  <si>
    <t xml:space="preserve">+1-288-482-7544</t>
  </si>
  <si>
    <t xml:space="preserve">362 2nd Ave</t>
  </si>
  <si>
    <t xml:space="preserve">REF7474</t>
  </si>
  <si>
    <t xml:space="preserve">ORD200060</t>
  </si>
  <si>
    <t xml:space="preserve">17:18:46</t>
  </si>
  <si>
    <t xml:space="preserve">P6693</t>
  </si>
  <si>
    <t xml:space="preserve">INV-2024-100060</t>
  </si>
  <si>
    <t xml:space="preserve">466 Elm St</t>
  </si>
  <si>
    <t xml:space="preserve">TRK380362052</t>
  </si>
  <si>
    <t xml:space="preserve">Email_HolidaySale</t>
  </si>
  <si>
    <t xml:space="preserve">CMP9294</t>
  </si>
  <si>
    <t xml:space="preserve">CUST10061</t>
  </si>
  <si>
    <t xml:space="preserve">Brown</t>
  </si>
  <si>
    <t xml:space="preserve">pamela.brown61@example.com</t>
  </si>
  <si>
    <t xml:space="preserve">+1-954-404-4847</t>
  </si>
  <si>
    <t xml:space="preserve">754 Oak Ave</t>
  </si>
  <si>
    <t xml:space="preserve">REF5348</t>
  </si>
  <si>
    <t xml:space="preserve">ORD200061</t>
  </si>
  <si>
    <t xml:space="preserve">02:43:42</t>
  </si>
  <si>
    <t xml:space="preserve">P1108</t>
  </si>
  <si>
    <t xml:space="preserve">Children</t>
  </si>
  <si>
    <t xml:space="preserve">INV-2024-100061</t>
  </si>
  <si>
    <t xml:space="preserve">494 Maple Dr</t>
  </si>
  <si>
    <t xml:space="preserve">TRK628646448</t>
  </si>
  <si>
    <t xml:space="preserve">CMP3996</t>
  </si>
  <si>
    <t xml:space="preserve">CUST10062</t>
  </si>
  <si>
    <t xml:space="preserve">Ruiz</t>
  </si>
  <si>
    <t xml:space="preserve">kenneth.ruiz62@example.com</t>
  </si>
  <si>
    <t xml:space="preserve">+1-590-400-3389</t>
  </si>
  <si>
    <t xml:space="preserve">820 2nd Ave</t>
  </si>
  <si>
    <t xml:space="preserve">REF3450</t>
  </si>
  <si>
    <t xml:space="preserve">ORD200062</t>
  </si>
  <si>
    <t xml:space="preserve">20:33:34</t>
  </si>
  <si>
    <t xml:space="preserve">P8972</t>
  </si>
  <si>
    <t xml:space="preserve">INV-2024-100062</t>
  </si>
  <si>
    <t xml:space="preserve">408 Main St</t>
  </si>
  <si>
    <t xml:space="preserve">TRK331356272</t>
  </si>
  <si>
    <t xml:space="preserve">CMP2577</t>
  </si>
  <si>
    <t xml:space="preserve">CUST10063</t>
  </si>
  <si>
    <t xml:space="preserve">Edwards</t>
  </si>
  <si>
    <t xml:space="preserve">jack.edwards63@example.com</t>
  </si>
  <si>
    <t xml:space="preserve">+1-877-457-2311</t>
  </si>
  <si>
    <t xml:space="preserve">Maharashtra</t>
  </si>
  <si>
    <t xml:space="preserve">Mumbai</t>
  </si>
  <si>
    <t xml:space="preserve">400001</t>
  </si>
  <si>
    <t xml:space="preserve">216 Oak Ave</t>
  </si>
  <si>
    <t xml:space="preserve">REF7505</t>
  </si>
  <si>
    <t xml:space="preserve">ORD200063</t>
  </si>
  <si>
    <t xml:space="preserve">16:48:05</t>
  </si>
  <si>
    <t xml:space="preserve">P5300</t>
  </si>
  <si>
    <t xml:space="preserve">INV-2024-100063</t>
  </si>
  <si>
    <t xml:space="preserve">317 Oak Ave</t>
  </si>
  <si>
    <t xml:space="preserve">TRK405130880</t>
  </si>
  <si>
    <t xml:space="preserve">CMP3150</t>
  </si>
  <si>
    <t xml:space="preserve">SAVE12</t>
  </si>
  <si>
    <t xml:space="preserve">CUST10064</t>
  </si>
  <si>
    <t xml:space="preserve">Larry</t>
  </si>
  <si>
    <t xml:space="preserve">Parker</t>
  </si>
  <si>
    <t xml:space="preserve">larry.parker64@example.com</t>
  </si>
  <si>
    <t xml:space="preserve">+1-604-455-3675</t>
  </si>
  <si>
    <t xml:space="preserve">733 2nd Ave</t>
  </si>
  <si>
    <t xml:space="preserve">REF7385</t>
  </si>
  <si>
    <t xml:space="preserve">ORD200064</t>
  </si>
  <si>
    <t xml:space="preserve">19:51:44</t>
  </si>
  <si>
    <t xml:space="preserve">P5664</t>
  </si>
  <si>
    <t xml:space="preserve">Physics Textbook</t>
  </si>
  <si>
    <t xml:space="preserve">INV-2024-100064</t>
  </si>
  <si>
    <t xml:space="preserve">193 Main St</t>
  </si>
  <si>
    <t xml:space="preserve">TRK410950586</t>
  </si>
  <si>
    <t xml:space="preserve">CMP8418</t>
  </si>
  <si>
    <t xml:space="preserve">CUST10065</t>
  </si>
  <si>
    <t xml:space="preserve">Rebecca</t>
  </si>
  <si>
    <t xml:space="preserve">Flores</t>
  </si>
  <si>
    <t xml:space="preserve">rebecca.flores65@example.com</t>
  </si>
  <si>
    <t xml:space="preserve">+1-530-362-1691</t>
  </si>
  <si>
    <t xml:space="preserve">763 Park Rd</t>
  </si>
  <si>
    <t xml:space="preserve">REF9534</t>
  </si>
  <si>
    <t xml:space="preserve">ORD200065</t>
  </si>
  <si>
    <t xml:space="preserve">06:07:15</t>
  </si>
  <si>
    <t xml:space="preserve">P6316</t>
  </si>
  <si>
    <t xml:space="preserve">IKEA</t>
  </si>
  <si>
    <t xml:space="preserve">INV-2024-100065</t>
  </si>
  <si>
    <t xml:space="preserve">809 Oak Ave</t>
  </si>
  <si>
    <t xml:space="preserve">TRK723926702</t>
  </si>
  <si>
    <t xml:space="preserve">CMP3539</t>
  </si>
  <si>
    <t xml:space="preserve">SAVE20</t>
  </si>
  <si>
    <t xml:space="preserve">CUST10066</t>
  </si>
  <si>
    <t xml:space="preserve">Sanders</t>
  </si>
  <si>
    <t xml:space="preserve">jeffrey.sanders66@example.com</t>
  </si>
  <si>
    <t xml:space="preserve">+1-219-834-6965</t>
  </si>
  <si>
    <t xml:space="preserve">795 Park Rd</t>
  </si>
  <si>
    <t xml:space="preserve">REF4912</t>
  </si>
  <si>
    <t xml:space="preserve">ORD200066</t>
  </si>
  <si>
    <t xml:space="preserve">15:49:35</t>
  </si>
  <si>
    <t xml:space="preserve">P5638</t>
  </si>
  <si>
    <t xml:space="preserve">INV-2024-100066</t>
  </si>
  <si>
    <t xml:space="preserve">536 Main St</t>
  </si>
  <si>
    <t xml:space="preserve">TRK291811951</t>
  </si>
  <si>
    <t xml:space="preserve">CMP2753</t>
  </si>
  <si>
    <t xml:space="preserve">SAVE46</t>
  </si>
  <si>
    <t xml:space="preserve">CUST10067</t>
  </si>
  <si>
    <t xml:space="preserve">Janet</t>
  </si>
  <si>
    <t xml:space="preserve">Turner</t>
  </si>
  <si>
    <t xml:space="preserve">janet.turner67@example.com</t>
  </si>
  <si>
    <t xml:space="preserve">+1-716-545-3591</t>
  </si>
  <si>
    <t xml:space="preserve">547 Park Rd</t>
  </si>
  <si>
    <t xml:space="preserve">REF8258</t>
  </si>
  <si>
    <t xml:space="preserve">ORD200067</t>
  </si>
  <si>
    <t xml:space="preserve">20:27:52</t>
  </si>
  <si>
    <t xml:space="preserve">P4943</t>
  </si>
  <si>
    <t xml:space="preserve">Laptops</t>
  </si>
  <si>
    <t xml:space="preserve">INV-2024-100067</t>
  </si>
  <si>
    <t xml:space="preserve">949 Maple Dr</t>
  </si>
  <si>
    <t xml:space="preserve">TRK580499237</t>
  </si>
  <si>
    <t xml:space="preserve">Referral_SummerSale</t>
  </si>
  <si>
    <t xml:space="preserve">CMP1567</t>
  </si>
  <si>
    <t xml:space="preserve">Sarah</t>
  </si>
  <si>
    <t xml:space="preserve">sarah.king68@example.com</t>
  </si>
  <si>
    <t xml:space="preserve">+1-849-996-7266</t>
  </si>
  <si>
    <t xml:space="preserve">56 Maple Dr</t>
  </si>
  <si>
    <t xml:space="preserve">REF9591</t>
  </si>
  <si>
    <t xml:space="preserve">CUST10069</t>
  </si>
  <si>
    <t xml:space="preserve">ORD200068</t>
  </si>
  <si>
    <t xml:space="preserve">21:46:25</t>
  </si>
  <si>
    <t xml:space="preserve">P9269</t>
  </si>
  <si>
    <t xml:space="preserve">INV-2024-100068</t>
  </si>
  <si>
    <t xml:space="preserve">152 Oak Ave</t>
  </si>
  <si>
    <t xml:space="preserve">TRK610945043</t>
  </si>
  <si>
    <t xml:space="preserve">CMP7540</t>
  </si>
  <si>
    <t xml:space="preserve">SAVE37</t>
  </si>
  <si>
    <t xml:space="preserve">Lopez</t>
  </si>
  <si>
    <t xml:space="preserve">brenda.lopez69@example.com</t>
  </si>
  <si>
    <t xml:space="preserve">+1-512-660-8719</t>
  </si>
  <si>
    <t xml:space="preserve">24 Maple Dr</t>
  </si>
  <si>
    <t xml:space="preserve">REF4424</t>
  </si>
  <si>
    <t xml:space="preserve">ORD200069</t>
  </si>
  <si>
    <t xml:space="preserve">19:46:09</t>
  </si>
  <si>
    <t xml:space="preserve">P7170</t>
  </si>
  <si>
    <t xml:space="preserve">INV-2024-100069</t>
  </si>
  <si>
    <t xml:space="preserve">175 Main St</t>
  </si>
  <si>
    <t xml:space="preserve">TRK947384695</t>
  </si>
  <si>
    <t xml:space="preserve">CMP8617</t>
  </si>
  <si>
    <t xml:space="preserve">SAVE34</t>
  </si>
  <si>
    <t xml:space="preserve">Lisa</t>
  </si>
  <si>
    <t xml:space="preserve">Sanchez</t>
  </si>
  <si>
    <t xml:space="preserve">lisa.sanchez70@example.com</t>
  </si>
  <si>
    <t xml:space="preserve">+1-289-947-7262</t>
  </si>
  <si>
    <t xml:space="preserve">534 2nd Ave</t>
  </si>
  <si>
    <t xml:space="preserve">REF4726</t>
  </si>
  <si>
    <t xml:space="preserve">ORD200070</t>
  </si>
  <si>
    <t xml:space="preserve">17:08:13</t>
  </si>
  <si>
    <t xml:space="preserve">P9869</t>
  </si>
  <si>
    <t xml:space="preserve">INV-2024-100070</t>
  </si>
  <si>
    <t xml:space="preserve">706 Park Rd</t>
  </si>
  <si>
    <t xml:space="preserve">TRK926834891</t>
  </si>
  <si>
    <t xml:space="preserve">CMP3589</t>
  </si>
  <si>
    <t xml:space="preserve">CUST10071</t>
  </si>
  <si>
    <t xml:space="preserve">lisa.brown71@example.com</t>
  </si>
  <si>
    <t xml:space="preserve">+1-267-381-8197</t>
  </si>
  <si>
    <t xml:space="preserve">888 Park Rd</t>
  </si>
  <si>
    <t xml:space="preserve">REF9027</t>
  </si>
  <si>
    <t xml:space="preserve">ORD200071</t>
  </si>
  <si>
    <t xml:space="preserve">23:52:24</t>
  </si>
  <si>
    <t xml:space="preserve">P7457</t>
  </si>
  <si>
    <t xml:space="preserve">Sony</t>
  </si>
  <si>
    <t xml:space="preserve">INV-2024-100071</t>
  </si>
  <si>
    <t xml:space="preserve">538 Main St</t>
  </si>
  <si>
    <t xml:space="preserve">TRK584912105</t>
  </si>
  <si>
    <t xml:space="preserve">CMP5025</t>
  </si>
  <si>
    <t xml:space="preserve">Laura</t>
  </si>
  <si>
    <t xml:space="preserve">laura.lopez72@example.com</t>
  </si>
  <si>
    <t xml:space="preserve">+1-587-763-7235</t>
  </si>
  <si>
    <t xml:space="preserve">45 Sunset Blvd</t>
  </si>
  <si>
    <t xml:space="preserve">REF3799</t>
  </si>
  <si>
    <t xml:space="preserve">ORD200072</t>
  </si>
  <si>
    <t xml:space="preserve">05:49:45</t>
  </si>
  <si>
    <t xml:space="preserve">P7874</t>
  </si>
  <si>
    <t xml:space="preserve">INV-2024-100072</t>
  </si>
  <si>
    <t xml:space="preserve">296 Oak Ave</t>
  </si>
  <si>
    <t xml:space="preserve">TRK317810361</t>
  </si>
  <si>
    <t xml:space="preserve">CMP5146</t>
  </si>
  <si>
    <t xml:space="preserve">CUST10073</t>
  </si>
  <si>
    <t xml:space="preserve">Anna</t>
  </si>
  <si>
    <t xml:space="preserve">anna.clark73@example.com</t>
  </si>
  <si>
    <t xml:space="preserve">+1-763-266-5797</t>
  </si>
  <si>
    <t xml:space="preserve">483 Oak Ave</t>
  </si>
  <si>
    <t xml:space="preserve">REF2999</t>
  </si>
  <si>
    <t xml:space="preserve">ORD200073</t>
  </si>
  <si>
    <t xml:space="preserve">19:03:06</t>
  </si>
  <si>
    <t xml:space="preserve">P8924</t>
  </si>
  <si>
    <t xml:space="preserve">Grooming</t>
  </si>
  <si>
    <t xml:space="preserve">INV-2024-100073</t>
  </si>
  <si>
    <t xml:space="preserve">295 Elm St</t>
  </si>
  <si>
    <t xml:space="preserve">TRK378807844</t>
  </si>
  <si>
    <t xml:space="preserve">CMP9132</t>
  </si>
  <si>
    <t xml:space="preserve">CUST10074</t>
  </si>
  <si>
    <t xml:space="preserve">Bailey</t>
  </si>
  <si>
    <t xml:space="preserve">brian.bailey74@example.com</t>
  </si>
  <si>
    <t xml:space="preserve">+1-543-673-7782</t>
  </si>
  <si>
    <t xml:space="preserve">951 2nd Ave</t>
  </si>
  <si>
    <t xml:space="preserve">REF1917</t>
  </si>
  <si>
    <t xml:space="preserve">ORD200074</t>
  </si>
  <si>
    <t xml:space="preserve">06:36:43</t>
  </si>
  <si>
    <t xml:space="preserve">P6793</t>
  </si>
  <si>
    <t xml:space="preserve">LED Table Lamp</t>
  </si>
  <si>
    <t xml:space="preserve">Bedding</t>
  </si>
  <si>
    <t xml:space="preserve">INV-2024-100074</t>
  </si>
  <si>
    <t xml:space="preserve">348 Elm St</t>
  </si>
  <si>
    <t xml:space="preserve">TRK713086866</t>
  </si>
  <si>
    <t xml:space="preserve">CMP2914</t>
  </si>
  <si>
    <t xml:space="preserve">CUST10075</t>
  </si>
  <si>
    <t xml:space="preserve">Barbara</t>
  </si>
  <si>
    <t xml:space="preserve">Cruz</t>
  </si>
  <si>
    <t xml:space="preserve">barbara.cruz75@example.com</t>
  </si>
  <si>
    <t xml:space="preserve">+1-223-791-6114</t>
  </si>
  <si>
    <t xml:space="preserve">655 Oak Ave</t>
  </si>
  <si>
    <t xml:space="preserve">REF6257</t>
  </si>
  <si>
    <t xml:space="preserve">ORD200075</t>
  </si>
  <si>
    <t xml:space="preserve">04:10:17</t>
  </si>
  <si>
    <t xml:space="preserve">P1249</t>
  </si>
  <si>
    <t xml:space="preserve">Decor</t>
  </si>
  <si>
    <t xml:space="preserve">INV-2024-100075</t>
  </si>
  <si>
    <t xml:space="preserve">556 Maple Dr</t>
  </si>
  <si>
    <t xml:space="preserve">TRK391039983</t>
  </si>
  <si>
    <t xml:space="preserve">Google_FlashSale</t>
  </si>
  <si>
    <t xml:space="preserve">CMP5011</t>
  </si>
  <si>
    <t xml:space="preserve">SAVE31</t>
  </si>
  <si>
    <t xml:space="preserve">CUST10076</t>
  </si>
  <si>
    <t xml:space="preserve">Alvarez</t>
  </si>
  <si>
    <t xml:space="preserve">betty.alvarez76@example.com</t>
  </si>
  <si>
    <t xml:space="preserve">+1-720-305-7646</t>
  </si>
  <si>
    <t xml:space="preserve">838 2nd Ave</t>
  </si>
  <si>
    <t xml:space="preserve">REF2752</t>
  </si>
  <si>
    <t xml:space="preserve">ORD200076</t>
  </si>
  <si>
    <t xml:space="preserve">07:39:15</t>
  </si>
  <si>
    <t xml:space="preserve">P8903</t>
  </si>
  <si>
    <t xml:space="preserve">INV-2024-100076</t>
  </si>
  <si>
    <t xml:space="preserve">606 Elm St</t>
  </si>
  <si>
    <t xml:space="preserve">TRK945385686</t>
  </si>
  <si>
    <t xml:space="preserve">CMP4869</t>
  </si>
  <si>
    <t xml:space="preserve">CUST10077</t>
  </si>
  <si>
    <t xml:space="preserve">James</t>
  </si>
  <si>
    <t xml:space="preserve">samuel.james77@example.com</t>
  </si>
  <si>
    <t xml:space="preserve">+1-200-920-6885</t>
  </si>
  <si>
    <t xml:space="preserve">113 Sunset Blvd</t>
  </si>
  <si>
    <t xml:space="preserve">REF5623</t>
  </si>
  <si>
    <t xml:space="preserve">ORD200077</t>
  </si>
  <si>
    <t xml:space="preserve">12:25:24</t>
  </si>
  <si>
    <t xml:space="preserve">P9931</t>
  </si>
  <si>
    <t xml:space="preserve">INV-2024-100077</t>
  </si>
  <si>
    <t xml:space="preserve">569 Elm St</t>
  </si>
  <si>
    <t xml:space="preserve">TRK265643247</t>
  </si>
  <si>
    <t xml:space="preserve">CMP3200</t>
  </si>
  <si>
    <t xml:space="preserve">CUST10078</t>
  </si>
  <si>
    <t xml:space="preserve">Roberts</t>
  </si>
  <si>
    <t xml:space="preserve">laura.roberts78@example.com</t>
  </si>
  <si>
    <t xml:space="preserve">+1-900-848-9834</t>
  </si>
  <si>
    <t xml:space="preserve">818 Park Rd</t>
  </si>
  <si>
    <t xml:space="preserve">REF6119</t>
  </si>
  <si>
    <t xml:space="preserve">ORD200078</t>
  </si>
  <si>
    <t xml:space="preserve">15:36:46</t>
  </si>
  <si>
    <t xml:space="preserve">P7897</t>
  </si>
  <si>
    <t xml:space="preserve">INV-2024-100078</t>
  </si>
  <si>
    <t xml:space="preserve">712 Park Rd</t>
  </si>
  <si>
    <t xml:space="preserve">TRK942910475</t>
  </si>
  <si>
    <t xml:space="preserve">CMP8752</t>
  </si>
  <si>
    <t xml:space="preserve">CUST10079</t>
  </si>
  <si>
    <t xml:space="preserve">pamela.patel79@example.com</t>
  </si>
  <si>
    <t xml:space="preserve">+1-687-964-9724</t>
  </si>
  <si>
    <t xml:space="preserve">240 Elm St</t>
  </si>
  <si>
    <t xml:space="preserve">REF7390</t>
  </si>
  <si>
    <t xml:space="preserve">ORD200079</t>
  </si>
  <si>
    <t xml:space="preserve">12:43:20</t>
  </si>
  <si>
    <t xml:space="preserve">P2595</t>
  </si>
  <si>
    <t xml:space="preserve">Zara</t>
  </si>
  <si>
    <t xml:space="preserve">INV-2024-100079</t>
  </si>
  <si>
    <t xml:space="preserve">443 Park Rd</t>
  </si>
  <si>
    <t xml:space="preserve">TRK390260461</t>
  </si>
  <si>
    <t xml:space="preserve">CMP5183</t>
  </si>
  <si>
    <t xml:space="preserve">CUST10080</t>
  </si>
  <si>
    <t xml:space="preserve">Andrew</t>
  </si>
  <si>
    <t xml:space="preserve">Allen</t>
  </si>
  <si>
    <t xml:space="preserve">andrew.allen80@example.com</t>
  </si>
  <si>
    <t xml:space="preserve">+1-597-540-1984</t>
  </si>
  <si>
    <t xml:space="preserve">265 Sunset Blvd</t>
  </si>
  <si>
    <t xml:space="preserve">REF5336</t>
  </si>
  <si>
    <t xml:space="preserve">ORD200080</t>
  </si>
  <si>
    <t xml:space="preserve">03:09:34</t>
  </si>
  <si>
    <t xml:space="preserve">P4578</t>
  </si>
  <si>
    <t xml:space="preserve">INV-2024-100080</t>
  </si>
  <si>
    <t xml:space="preserve">266 Main St</t>
  </si>
  <si>
    <t xml:space="preserve">TRK175604661</t>
  </si>
  <si>
    <t xml:space="preserve">CMP1307</t>
  </si>
  <si>
    <t xml:space="preserve">SAVE50</t>
  </si>
  <si>
    <t xml:space="preserve">CUST10081</t>
  </si>
  <si>
    <t xml:space="preserve">alexander.jimenez81@example.com</t>
  </si>
  <si>
    <t xml:space="preserve">+1-700-598-2032</t>
  </si>
  <si>
    <t xml:space="preserve">812 Park Rd</t>
  </si>
  <si>
    <t xml:space="preserve">REF6041</t>
  </si>
  <si>
    <t xml:space="preserve">ORD200081</t>
  </si>
  <si>
    <t xml:space="preserve">23:02:25</t>
  </si>
  <si>
    <t xml:space="preserve">P4468</t>
  </si>
  <si>
    <t xml:space="preserve">INV-2024-100081</t>
  </si>
  <si>
    <t xml:space="preserve">892 Park Rd</t>
  </si>
  <si>
    <t xml:space="preserve">TRK722067721</t>
  </si>
  <si>
    <t xml:space="preserve">CMP1312</t>
  </si>
  <si>
    <t xml:space="preserve">CUST10082</t>
  </si>
  <si>
    <t xml:space="preserve">betty.diaz82@example.com</t>
  </si>
  <si>
    <t xml:space="preserve">+1-207-383-2460</t>
  </si>
  <si>
    <t xml:space="preserve">724 2nd Ave</t>
  </si>
  <si>
    <t xml:space="preserve">REF5648</t>
  </si>
  <si>
    <t xml:space="preserve">ORD200082</t>
  </si>
  <si>
    <t xml:space="preserve">08:33:28</t>
  </si>
  <si>
    <t xml:space="preserve">P4919</t>
  </si>
  <si>
    <t xml:space="preserve">Cotton T-Shirt</t>
  </si>
  <si>
    <t xml:space="preserve">INV-2024-100082</t>
  </si>
  <si>
    <t xml:space="preserve">185 Elm St</t>
  </si>
  <si>
    <t xml:space="preserve">TRK773441905</t>
  </si>
  <si>
    <t xml:space="preserve">Instagram_FlashSale</t>
  </si>
  <si>
    <t xml:space="preserve">CMP7861</t>
  </si>
  <si>
    <t xml:space="preserve">SAVE17</t>
  </si>
  <si>
    <t xml:space="preserve">CUST10083</t>
  </si>
  <si>
    <t xml:space="preserve">Jennifer</t>
  </si>
  <si>
    <t xml:space="preserve">Miller</t>
  </si>
  <si>
    <t xml:space="preserve">jennifer.miller83@example.com</t>
  </si>
  <si>
    <t xml:space="preserve">+1-584-425-2204</t>
  </si>
  <si>
    <t xml:space="preserve">483 Park Rd</t>
  </si>
  <si>
    <t xml:space="preserve">REF8936</t>
  </si>
  <si>
    <t xml:space="preserve">ORD200083</t>
  </si>
  <si>
    <t xml:space="preserve">14:46:12</t>
  </si>
  <si>
    <t xml:space="preserve">P5418</t>
  </si>
  <si>
    <t xml:space="preserve">INV-2024-100083</t>
  </si>
  <si>
    <t xml:space="preserve">62 Maple Dr</t>
  </si>
  <si>
    <t xml:space="preserve">TRK599863643</t>
  </si>
  <si>
    <t xml:space="preserve">CMP3804</t>
  </si>
  <si>
    <t xml:space="preserve">CUST10084</t>
  </si>
  <si>
    <t xml:space="preserve">carolyn.diaz84@example.com</t>
  </si>
  <si>
    <t xml:space="preserve">+1-216-691-5994</t>
  </si>
  <si>
    <t xml:space="preserve">166 2nd Ave</t>
  </si>
  <si>
    <t xml:space="preserve">REF8524</t>
  </si>
  <si>
    <t xml:space="preserve">ORD200084</t>
  </si>
  <si>
    <t xml:space="preserve">22:25:11</t>
  </si>
  <si>
    <t xml:space="preserve">P8607</t>
  </si>
  <si>
    <t xml:space="preserve">INV-2024-100084</t>
  </si>
  <si>
    <t xml:space="preserve">395 Maple Dr</t>
  </si>
  <si>
    <t xml:space="preserve">TRK418461071</t>
  </si>
  <si>
    <t xml:space="preserve">CMP9887</t>
  </si>
  <si>
    <t xml:space="preserve">CUST10085</t>
  </si>
  <si>
    <t xml:space="preserve">Anthony</t>
  </si>
  <si>
    <t xml:space="preserve">anthony.moore85@example.com</t>
  </si>
  <si>
    <t xml:space="preserve">+1-495-278-2791</t>
  </si>
  <si>
    <t xml:space="preserve">169 Maple Dr</t>
  </si>
  <si>
    <t xml:space="preserve">REF2835</t>
  </si>
  <si>
    <t xml:space="preserve">ORD200085</t>
  </si>
  <si>
    <t xml:space="preserve">13:43:34</t>
  </si>
  <si>
    <t xml:space="preserve">P8764</t>
  </si>
  <si>
    <t xml:space="preserve">INV-2024-100085</t>
  </si>
  <si>
    <t xml:space="preserve">299 Oak Ave</t>
  </si>
  <si>
    <t xml:space="preserve">TRK961129245</t>
  </si>
  <si>
    <t xml:space="preserve">CMP6503</t>
  </si>
  <si>
    <t xml:space="preserve">SAVE30</t>
  </si>
  <si>
    <t xml:space="preserve">andrew.collins86@example.com</t>
  </si>
  <si>
    <t xml:space="preserve">+1-669-527-3556</t>
  </si>
  <si>
    <t xml:space="preserve">5 2nd Ave</t>
  </si>
  <si>
    <t xml:space="preserve">REF9948</t>
  </si>
  <si>
    <t xml:space="preserve">ORD200086</t>
  </si>
  <si>
    <t xml:space="preserve">18:42:09</t>
  </si>
  <si>
    <t xml:space="preserve">P6549</t>
  </si>
  <si>
    <t xml:space="preserve">Camping</t>
  </si>
  <si>
    <t xml:space="preserve">INV-2024-100086</t>
  </si>
  <si>
    <t xml:space="preserve">143 Park Rd</t>
  </si>
  <si>
    <t xml:space="preserve">TRK126624066</t>
  </si>
  <si>
    <t xml:space="preserve">CMP4610</t>
  </si>
  <si>
    <t xml:space="preserve">SAVE13</t>
  </si>
  <si>
    <t xml:space="preserve">CUST10087</t>
  </si>
  <si>
    <t xml:space="preserve">linda.bennett87@example.com</t>
  </si>
  <si>
    <t xml:space="preserve">+1-290-206-7708</t>
  </si>
  <si>
    <t xml:space="preserve">655 Maple Dr</t>
  </si>
  <si>
    <t xml:space="preserve">REF7791</t>
  </si>
  <si>
    <t xml:space="preserve">ORD200087</t>
  </si>
  <si>
    <t xml:space="preserve">17:31:02</t>
  </si>
  <si>
    <t xml:space="preserve">P5979</t>
  </si>
  <si>
    <t xml:space="preserve">INV-2024-100087</t>
  </si>
  <si>
    <t xml:space="preserve">811 Main St</t>
  </si>
  <si>
    <t xml:space="preserve">TRK422304445</t>
  </si>
  <si>
    <t xml:space="preserve">CMP5713</t>
  </si>
  <si>
    <t xml:space="preserve">CUST10088</t>
  </si>
  <si>
    <t xml:space="preserve">carolyn.kelly88@example.com</t>
  </si>
  <si>
    <t xml:space="preserve">+1-477-901-6939</t>
  </si>
  <si>
    <t xml:space="preserve">99 Park Rd</t>
  </si>
  <si>
    <t xml:space="preserve">REF6761</t>
  </si>
  <si>
    <t xml:space="preserve">ORD200088</t>
  </si>
  <si>
    <t xml:space="preserve">10:58:58</t>
  </si>
  <si>
    <t xml:space="preserve">P2678</t>
  </si>
  <si>
    <t xml:space="preserve">INV-2024-100088</t>
  </si>
  <si>
    <t xml:space="preserve">815 Park Rd</t>
  </si>
  <si>
    <t xml:space="preserve">TRK992726322</t>
  </si>
  <si>
    <t xml:space="preserve">CMP8544</t>
  </si>
  <si>
    <t xml:space="preserve">CUST10089</t>
  </si>
  <si>
    <t xml:space="preserve">alexander.jackson89@example.com</t>
  </si>
  <si>
    <t xml:space="preserve">+1-801-404-4027</t>
  </si>
  <si>
    <t xml:space="preserve">687 Maple Dr</t>
  </si>
  <si>
    <t xml:space="preserve">REF1479</t>
  </si>
  <si>
    <t xml:space="preserve">CUST10095</t>
  </si>
  <si>
    <t xml:space="preserve">ORD200089</t>
  </si>
  <si>
    <t xml:space="preserve">23:39:15</t>
  </si>
  <si>
    <t xml:space="preserve">P2623</t>
  </si>
  <si>
    <t xml:space="preserve">INV-2024-100089</t>
  </si>
  <si>
    <t xml:space="preserve">197 Maple Dr</t>
  </si>
  <si>
    <t xml:space="preserve">TRK104648146</t>
  </si>
  <si>
    <t xml:space="preserve">CMP9260</t>
  </si>
  <si>
    <t xml:space="preserve">CUST10090</t>
  </si>
  <si>
    <t xml:space="preserve">Ruth</t>
  </si>
  <si>
    <t xml:space="preserve">Campbell</t>
  </si>
  <si>
    <t xml:space="preserve">ruth.campbell90@example.com</t>
  </si>
  <si>
    <t xml:space="preserve">+1-959-372-2060</t>
  </si>
  <si>
    <t xml:space="preserve">373 Oak Ave</t>
  </si>
  <si>
    <t xml:space="preserve">REF6548</t>
  </si>
  <si>
    <t xml:space="preserve">ORD200090</t>
  </si>
  <si>
    <t xml:space="preserve">18:37:17</t>
  </si>
  <si>
    <t xml:space="preserve">P6834</t>
  </si>
  <si>
    <t xml:space="preserve">INV-2024-100090</t>
  </si>
  <si>
    <t xml:space="preserve">524 Maple Dr</t>
  </si>
  <si>
    <t xml:space="preserve">TRK216003492</t>
  </si>
  <si>
    <t xml:space="preserve">CMP9017</t>
  </si>
  <si>
    <t xml:space="preserve">CUST10091</t>
  </si>
  <si>
    <t xml:space="preserve">gregory.murphy91@example.com</t>
  </si>
  <si>
    <t xml:space="preserve">+1-687-775-3560</t>
  </si>
  <si>
    <t xml:space="preserve">519 Main St</t>
  </si>
  <si>
    <t xml:space="preserve">REF7412</t>
  </si>
  <si>
    <t xml:space="preserve">ORD200091</t>
  </si>
  <si>
    <t xml:space="preserve">10:03:01</t>
  </si>
  <si>
    <t xml:space="preserve">P3100</t>
  </si>
  <si>
    <t xml:space="preserve">INV-2024-100091</t>
  </si>
  <si>
    <t xml:space="preserve">28 Maple Dr</t>
  </si>
  <si>
    <t xml:space="preserve">TRK559720620</t>
  </si>
  <si>
    <t xml:space="preserve">CMP7749</t>
  </si>
  <si>
    <t xml:space="preserve">CUST10092</t>
  </si>
  <si>
    <t xml:space="preserve">Stewart</t>
  </si>
  <si>
    <t xml:space="preserve">rachel.stewart92@example.com</t>
  </si>
  <si>
    <t xml:space="preserve">+1-806-544-5478</t>
  </si>
  <si>
    <t xml:space="preserve">69 Park Rd</t>
  </si>
  <si>
    <t xml:space="preserve">REF9700</t>
  </si>
  <si>
    <t xml:space="preserve">ORD200092</t>
  </si>
  <si>
    <t xml:space="preserve">09:27:42</t>
  </si>
  <si>
    <t xml:space="preserve">P4278</t>
  </si>
  <si>
    <t xml:space="preserve">INV-2024-100092</t>
  </si>
  <si>
    <t xml:space="preserve">688 Park Rd</t>
  </si>
  <si>
    <t xml:space="preserve">TRK774142288</t>
  </si>
  <si>
    <t xml:space="preserve">CMP9178</t>
  </si>
  <si>
    <t xml:space="preserve">CUST10093</t>
  </si>
  <si>
    <t xml:space="preserve">sharon.evans93@example.com</t>
  </si>
  <si>
    <t xml:space="preserve">+1-939-697-1326</t>
  </si>
  <si>
    <t xml:space="preserve">57 Sunset Blvd</t>
  </si>
  <si>
    <t xml:space="preserve">REF2375</t>
  </si>
  <si>
    <t xml:space="preserve">ORD200093</t>
  </si>
  <si>
    <t xml:space="preserve">02:25:53</t>
  </si>
  <si>
    <t xml:space="preserve">P4867</t>
  </si>
  <si>
    <t xml:space="preserve">Denim Jacket</t>
  </si>
  <si>
    <t xml:space="preserve">INV-2024-100093</t>
  </si>
  <si>
    <t xml:space="preserve">535 Park Rd</t>
  </si>
  <si>
    <t xml:space="preserve">TRK633060309</t>
  </si>
  <si>
    <t xml:space="preserve">CMP3003</t>
  </si>
  <si>
    <t xml:space="preserve">CUST10094</t>
  </si>
  <si>
    <t xml:space="preserve">kenneth.cooper94@example.com</t>
  </si>
  <si>
    <t xml:space="preserve">+1-364-649-6196</t>
  </si>
  <si>
    <t xml:space="preserve">901 Sunset Blvd</t>
  </si>
  <si>
    <t xml:space="preserve">REF7656</t>
  </si>
  <si>
    <t xml:space="preserve">ORD200094</t>
  </si>
  <si>
    <t xml:space="preserve">23:26:59</t>
  </si>
  <si>
    <t xml:space="preserve">P7920</t>
  </si>
  <si>
    <t xml:space="preserve">INV-2024-100094</t>
  </si>
  <si>
    <t xml:space="preserve">268 Park Rd</t>
  </si>
  <si>
    <t xml:space="preserve">TRK551906293</t>
  </si>
  <si>
    <t xml:space="preserve">CMP8264</t>
  </si>
  <si>
    <t xml:space="preserve">Mendoza</t>
  </si>
  <si>
    <t xml:space="preserve">daniel.mendoza95@example.com</t>
  </si>
  <si>
    <t xml:space="preserve">+1-991-664-9096</t>
  </si>
  <si>
    <t xml:space="preserve">122 Oak Ave</t>
  </si>
  <si>
    <t xml:space="preserve">REF4328</t>
  </si>
  <si>
    <t xml:space="preserve">ORD200095</t>
  </si>
  <si>
    <t xml:space="preserve">19:13:52</t>
  </si>
  <si>
    <t xml:space="preserve">P4102</t>
  </si>
  <si>
    <t xml:space="preserve">INV-2024-100095</t>
  </si>
  <si>
    <t xml:space="preserve">298 Maple Dr</t>
  </si>
  <si>
    <t xml:space="preserve">TRK584232533</t>
  </si>
  <si>
    <t xml:space="preserve">Referral_FlashSale</t>
  </si>
  <si>
    <t xml:space="preserve">CMP8506</t>
  </si>
  <si>
    <t xml:space="preserve">CUST10096</t>
  </si>
  <si>
    <t xml:space="preserve">Scott</t>
  </si>
  <si>
    <t xml:space="preserve">Price</t>
  </si>
  <si>
    <t xml:space="preserve">scott.price96@example.com</t>
  </si>
  <si>
    <t xml:space="preserve">+1-965-569-8046</t>
  </si>
  <si>
    <t xml:space="preserve">290 Maple Dr</t>
  </si>
  <si>
    <t xml:space="preserve">REF5321</t>
  </si>
  <si>
    <t xml:space="preserve">ORD200096</t>
  </si>
  <si>
    <t xml:space="preserve">04:35:54</t>
  </si>
  <si>
    <t xml:space="preserve">P1871</t>
  </si>
  <si>
    <t xml:space="preserve">INV-2024-100096</t>
  </si>
  <si>
    <t xml:space="preserve">482 Maple Dr</t>
  </si>
  <si>
    <t xml:space="preserve">TRK601580067</t>
  </si>
  <si>
    <t xml:space="preserve">CMP8233</t>
  </si>
  <si>
    <t xml:space="preserve">CUST10097</t>
  </si>
  <si>
    <t xml:space="preserve">brenda.white97@example.com</t>
  </si>
  <si>
    <t xml:space="preserve">+1-416-249-5635</t>
  </si>
  <si>
    <t xml:space="preserve">331 Sunset Blvd</t>
  </si>
  <si>
    <t xml:space="preserve">REF1909</t>
  </si>
  <si>
    <t xml:space="preserve">ORD200097</t>
  </si>
  <si>
    <t xml:space="preserve">07:49:55</t>
  </si>
  <si>
    <t xml:space="preserve">P2461</t>
  </si>
  <si>
    <t xml:space="preserve">INV-2024-100097</t>
  </si>
  <si>
    <t xml:space="preserve">413 Maple Dr</t>
  </si>
  <si>
    <t xml:space="preserve">TRK420562039</t>
  </si>
  <si>
    <t xml:space="preserve">CMP6080</t>
  </si>
  <si>
    <t xml:space="preserve">CUST10098</t>
  </si>
  <si>
    <t xml:space="preserve">barbara.garcia98@example.com</t>
  </si>
  <si>
    <t xml:space="preserve">+1-876-937-5151</t>
  </si>
  <si>
    <t xml:space="preserve">364 Maple Dr</t>
  </si>
  <si>
    <t xml:space="preserve">REF2339</t>
  </si>
  <si>
    <t xml:space="preserve">ORD200098</t>
  </si>
  <si>
    <t xml:space="preserve">12:02:05</t>
  </si>
  <si>
    <t xml:space="preserve">P5876</t>
  </si>
  <si>
    <t xml:space="preserve">INV-2024-100098</t>
  </si>
  <si>
    <t xml:space="preserve">TRK969737332</t>
  </si>
  <si>
    <t xml:space="preserve">CMP8107</t>
  </si>
  <si>
    <t xml:space="preserve">CUST10099</t>
  </si>
  <si>
    <t xml:space="preserve">Robert</t>
  </si>
  <si>
    <t xml:space="preserve">robert.hughes99@example.com</t>
  </si>
  <si>
    <t xml:space="preserve">+1-208-305-8074</t>
  </si>
  <si>
    <t xml:space="preserve">426 Sunset Blvd</t>
  </si>
  <si>
    <t xml:space="preserve">REF9121</t>
  </si>
  <si>
    <t xml:space="preserve">ORD200099</t>
  </si>
  <si>
    <t xml:space="preserve">16:37:46</t>
  </si>
  <si>
    <t xml:space="preserve">P4799</t>
  </si>
  <si>
    <t xml:space="preserve">INV-2024-100099</t>
  </si>
  <si>
    <t xml:space="preserve">324 Park Rd</t>
  </si>
  <si>
    <t xml:space="preserve">TRK796107135</t>
  </si>
  <si>
    <t xml:space="preserve">CMP2915</t>
  </si>
  <si>
    <t xml:space="preserve">CUST10100</t>
  </si>
  <si>
    <t xml:space="preserve">deborah.turner100@example.com</t>
  </si>
  <si>
    <t xml:space="preserve">+1-265-545-8055</t>
  </si>
  <si>
    <t xml:space="preserve">117 Park Rd</t>
  </si>
  <si>
    <t xml:space="preserve">REF4714</t>
  </si>
  <si>
    <t xml:space="preserve">ORD200100</t>
  </si>
  <si>
    <t xml:space="preserve">17:17:57</t>
  </si>
  <si>
    <t xml:space="preserve">P9444</t>
  </si>
  <si>
    <t xml:space="preserve">INV-2024-100100</t>
  </si>
  <si>
    <t xml:space="preserve">819 Elm St</t>
  </si>
  <si>
    <t xml:space="preserve">TRK939292867</t>
  </si>
  <si>
    <t xml:space="preserve">CMP2934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</si>
</sst>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0.0%"/>
    <numFmt numFmtId="168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.1"/>
    <col collapsed="false" customWidth="true" hidden="false" outlineLevel="0" max="7" min="3" style="0" width="12"/>
    <col collapsed="false" customWidth="true" hidden="false" outlineLevel="0" max="8" min="8" style="0" width="13.9"/>
    <col collapsed="false" customWidth="true" hidden="false" outlineLevel="0" max="13" min="9" style="0" width="12"/>
    <col collapsed="false" customWidth="true" hidden="false" outlineLevel="0" max="14" min="14" style="0" width="13"/>
    <col collapsed="false" customWidth="true" hidden="false" outlineLevel="0" max="15" min="15" style="0" width="16.6"/>
    <col collapsed="false" customWidth="true" hidden="false" outlineLevel="0" max="16" min="16" style="0" width="15.7"/>
    <col collapsed="false" customWidth="true" hidden="false" outlineLevel="0" max="17" min="17" style="0" width="14.8"/>
    <col collapsed="false" customWidth="true" hidden="false" outlineLevel="0" max="18" min="18" style="0" width="13"/>
    <col collapsed="false" customWidth="true" hidden="false" outlineLevel="0" max="19" min="19" style="0" width="15.7"/>
    <col collapsed="false" customWidth="true" hidden="false" outlineLevel="0" max="21" min="20" style="0" width="19.3"/>
    <col collapsed="false" customWidth="true" hidden="false" outlineLevel="0" max="22" min="22" style="0" width="22"/>
    <col collapsed="false" customWidth="true" hidden="false" outlineLevel="0" max="23" min="23" style="0" width="16.6"/>
    <col collapsed="false" customWidth="true" hidden="false" outlineLevel="0" max="24" min="24" style="0" width="12"/>
    <col collapsed="false" customWidth="true" hidden="false" outlineLevel="0" max="26" min="25" style="0" width="12.1"/>
    <col collapsed="false" customWidth="true" hidden="false" outlineLevel="0" max="27" min="27" style="0" width="13.9"/>
    <col collapsed="false" customWidth="true" hidden="false" outlineLevel="0" max="28" min="28" style="0" width="14.8"/>
    <col collapsed="false" customWidth="true" hidden="false" outlineLevel="0" max="29" min="29" style="0" width="12.1"/>
    <col collapsed="false" customWidth="true" hidden="false" outlineLevel="0" max="30" min="30" style="0" width="13.9"/>
    <col collapsed="false" customWidth="true" hidden="false" outlineLevel="0" max="31" min="31" style="0" width="17.5"/>
    <col collapsed="false" customWidth="true" hidden="false" outlineLevel="0" max="32" min="32" style="0" width="20.2"/>
    <col collapsed="false" customWidth="true" hidden="false" outlineLevel="0" max="34" min="33" style="0" width="12"/>
    <col collapsed="false" customWidth="true" hidden="false" outlineLevel="0" max="35" min="35" style="0" width="12.1"/>
    <col collapsed="false" customWidth="true" hidden="false" outlineLevel="0" max="36" min="36" style="0" width="18.4"/>
    <col collapsed="false" customWidth="true" hidden="false" outlineLevel="0" max="37" min="37" style="0" width="17.5"/>
    <col collapsed="false" customWidth="true" hidden="false" outlineLevel="0" max="38" min="38" style="0" width="14.8"/>
    <col collapsed="false" customWidth="true" hidden="false" outlineLevel="0" max="40" min="39" style="0" width="15.7"/>
    <col collapsed="false" customWidth="true" hidden="false" outlineLevel="0" max="41" min="41" style="0" width="14.8"/>
    <col collapsed="false" customWidth="true" hidden="false" outlineLevel="0" max="42" min="42" style="0" width="12.1"/>
    <col collapsed="false" customWidth="true" hidden="false" outlineLevel="0" max="43" min="43" style="0" width="15.7"/>
    <col collapsed="false" customWidth="true" hidden="false" outlineLevel="0" max="44" min="44" style="0" width="17.5"/>
    <col collapsed="false" customWidth="true" hidden="false" outlineLevel="0" max="45" min="45" style="0" width="14.8"/>
    <col collapsed="false" customWidth="true" hidden="false" outlineLevel="0" max="46" min="46" style="0" width="17.5"/>
    <col collapsed="false" customWidth="true" hidden="false" outlineLevel="0" max="47" min="47" style="0" width="19.3"/>
    <col collapsed="false" customWidth="true" hidden="false" outlineLevel="0" max="48" min="48" style="0" width="13.9"/>
    <col collapsed="false" customWidth="true" hidden="false" outlineLevel="0" max="49" min="49" style="0" width="16.6"/>
    <col collapsed="false" customWidth="true" hidden="false" outlineLevel="0" max="50" min="50" style="0" width="22"/>
    <col collapsed="false" customWidth="true" hidden="false" outlineLevel="0" max="51" min="51" style="0" width="20.2"/>
    <col collapsed="false" customWidth="true" hidden="false" outlineLevel="0" max="52" min="52" style="0" width="16.6"/>
    <col collapsed="false" customWidth="true" hidden="false" outlineLevel="0" max="53" min="53" style="0" width="17.5"/>
    <col collapsed="false" customWidth="true" hidden="false" outlineLevel="0" max="54" min="54" style="0" width="14.8"/>
    <col collapsed="false" customWidth="true" hidden="false" outlineLevel="0" max="55" min="55" style="0" width="13"/>
    <col collapsed="false" customWidth="true" hidden="false" outlineLevel="0" max="56" min="56" style="0" width="19.3"/>
    <col collapsed="false" customWidth="true" hidden="false" outlineLevel="0" max="57" min="57" style="0" width="17.5"/>
    <col collapsed="false" customWidth="true" hidden="false" outlineLevel="0" max="58" min="58" style="0" width="18.4"/>
    <col collapsed="false" customWidth="true" hidden="false" outlineLevel="0" max="59" min="59" style="0" width="14.8"/>
    <col collapsed="false" customWidth="true" hidden="false" outlineLevel="0" max="60" min="60" style="0" width="13"/>
    <col collapsed="false" customWidth="true" hidden="false" outlineLevel="0" max="61" min="61" style="0" width="12"/>
    <col collapsed="false" customWidth="true" hidden="false" outlineLevel="0" max="62" min="62" style="0" width="17.5"/>
    <col collapsed="false" customWidth="true" hidden="false" outlineLevel="0" max="66" min="63" style="0" width="13"/>
    <col collapsed="false" customWidth="true" hidden="false" outlineLevel="0" max="67" min="67" style="0" width="12"/>
    <col collapsed="false" customWidth="true" hidden="false" outlineLevel="0" max="68" min="68" style="0" width="17.5"/>
    <col collapsed="false" customWidth="true" hidden="false" outlineLevel="0" max="69" min="69" style="0" width="21.1"/>
    <col collapsed="false" customWidth="true" hidden="false" outlineLevel="0" max="70" min="70" style="0" width="13.9"/>
    <col collapsed="false" customWidth="true" hidden="false" outlineLevel="0" max="72" min="71" style="0" width="15.7"/>
    <col collapsed="false" customWidth="true" hidden="false" outlineLevel="0" max="73" min="73" style="0" width="22"/>
    <col collapsed="false" customWidth="true" hidden="false" outlineLevel="0" max="74" min="74" style="0" width="16.6"/>
    <col collapsed="false" customWidth="true" hidden="false" outlineLevel="0" max="76" min="75" style="0" width="15.7"/>
    <col collapsed="false" customWidth="true" hidden="false" outlineLevel="0" max="77" min="77" style="0" width="22"/>
    <col collapsed="false" customWidth="true" hidden="false" outlineLevel="0" max="78" min="78" style="0" width="17.5"/>
    <col collapsed="false" customWidth="true" hidden="false" outlineLevel="0" max="79" min="79" style="0" width="12.1"/>
    <col collapsed="false" customWidth="true" hidden="false" outlineLevel="0" max="84" min="80" style="0" width="22"/>
    <col collapsed="false" customWidth="true" hidden="false" outlineLevel="0" max="86" min="85" style="0" width="13.9"/>
    <col collapsed="false" customWidth="true" hidden="false" outlineLevel="0" max="87" min="87" style="0" width="18.4"/>
    <col collapsed="false" customWidth="true" hidden="false" outlineLevel="0" max="88" min="88" style="0" width="20.2"/>
    <col collapsed="false" customWidth="true" hidden="false" outlineLevel="0" max="90" min="89" style="0" width="19.3"/>
    <col collapsed="false" customWidth="true" hidden="false" outlineLevel="0" max="91" min="91" style="0" width="21.1"/>
    <col collapsed="false" customWidth="true" hidden="false" outlineLevel="0" max="93" min="92" style="0" width="12"/>
    <col collapsed="false" customWidth="true" hidden="false" outlineLevel="0" max="94" min="94" style="0" width="16.6"/>
    <col collapsed="false" customWidth="true" hidden="false" outlineLevel="0" max="95" min="95" style="0" width="12.1"/>
    <col collapsed="false" customWidth="true" hidden="false" outlineLevel="0" max="96" min="96" style="0" width="13.9"/>
    <col collapsed="false" customWidth="true" hidden="false" outlineLevel="0" max="97" min="97" style="0" width="12"/>
    <col collapsed="false" customWidth="true" hidden="false" outlineLevel="0" max="98" min="98" style="0" width="22"/>
    <col collapsed="false" customWidth="true" hidden="false" outlineLevel="0" max="99" min="99" style="0" width="13.9"/>
    <col collapsed="false" customWidth="true" hidden="false" outlineLevel="0" max="100" min="100" style="0" width="14.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customFormat="false" ht="15" hidden="false" customHeight="false" outlineLevel="0" collapsed="false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n">
        <v>65</v>
      </c>
      <c r="H2" s="3" t="n">
        <v>22044</v>
      </c>
      <c r="I2" s="2" t="s">
        <v>106</v>
      </c>
      <c r="J2" s="2" t="s">
        <v>107</v>
      </c>
      <c r="K2" s="2" t="s">
        <v>108</v>
      </c>
      <c r="L2" s="2" t="s">
        <v>109</v>
      </c>
      <c r="M2" s="2" t="s">
        <v>110</v>
      </c>
      <c r="N2" s="3" t="n">
        <v>43672</v>
      </c>
      <c r="O2" s="2" t="s">
        <v>111</v>
      </c>
      <c r="P2" s="2" t="n">
        <v>4467</v>
      </c>
      <c r="Q2" s="2" t="s">
        <v>112</v>
      </c>
      <c r="R2" s="2" t="s">
        <v>113</v>
      </c>
      <c r="S2" s="2" t="s">
        <v>114</v>
      </c>
      <c r="T2" s="2" t="s">
        <v>115</v>
      </c>
      <c r="U2" s="2" t="s">
        <v>116</v>
      </c>
      <c r="V2" s="2" t="s">
        <v>117</v>
      </c>
      <c r="W2" s="2" t="s">
        <v>118</v>
      </c>
      <c r="X2" s="2" t="s">
        <v>119</v>
      </c>
      <c r="Y2" s="3" t="n">
        <v>45381</v>
      </c>
      <c r="Z2" s="2" t="s">
        <v>120</v>
      </c>
      <c r="AA2" s="2" t="s">
        <v>121</v>
      </c>
      <c r="AB2" s="2" t="s">
        <v>122</v>
      </c>
      <c r="AC2" s="2" t="s">
        <v>123</v>
      </c>
      <c r="AD2" s="2" t="s">
        <v>124</v>
      </c>
      <c r="AE2" s="2" t="s">
        <v>125</v>
      </c>
      <c r="AF2" s="2" t="s">
        <v>126</v>
      </c>
      <c r="AG2" s="2" t="s">
        <v>127</v>
      </c>
      <c r="AH2" s="2" t="n">
        <v>1</v>
      </c>
      <c r="AI2" s="4" t="n">
        <v>39.05</v>
      </c>
      <c r="AJ2" s="5" t="n">
        <v>0</v>
      </c>
      <c r="AK2" s="5" t="n">
        <v>0.08</v>
      </c>
      <c r="AL2" s="4" t="n">
        <v>14.43</v>
      </c>
      <c r="AM2" s="2" t="s">
        <v>128</v>
      </c>
      <c r="AN2" s="2" t="s">
        <v>129</v>
      </c>
      <c r="AO2" s="2" t="s">
        <v>130</v>
      </c>
      <c r="AP2" s="4" t="n">
        <v>13.67</v>
      </c>
      <c r="AQ2" s="2" t="s">
        <v>131</v>
      </c>
      <c r="AR2" s="2" t="s">
        <v>132</v>
      </c>
      <c r="AS2" s="2" t="s">
        <v>108</v>
      </c>
      <c r="AT2" s="2" t="s">
        <v>106</v>
      </c>
      <c r="AU2" s="2" t="s">
        <v>133</v>
      </c>
      <c r="AV2" s="2" t="s">
        <v>134</v>
      </c>
      <c r="AW2" s="2" t="s">
        <v>135</v>
      </c>
      <c r="AX2" s="3" t="n">
        <v>45391</v>
      </c>
      <c r="AY2" s="2" t="s">
        <v>113</v>
      </c>
      <c r="AZ2" s="2" t="s">
        <v>136</v>
      </c>
      <c r="BA2" s="2" t="s">
        <v>118</v>
      </c>
      <c r="BB2" s="2" t="s">
        <v>113</v>
      </c>
      <c r="BC2" s="2" t="s">
        <v>113</v>
      </c>
      <c r="BD2" s="2" t="s">
        <v>118</v>
      </c>
      <c r="BE2" s="2" t="s">
        <v>113</v>
      </c>
      <c r="BF2" s="2" t="s">
        <v>137</v>
      </c>
      <c r="BG2" s="2" t="s">
        <v>138</v>
      </c>
      <c r="BH2" s="2" t="s">
        <v>139</v>
      </c>
      <c r="BI2" s="4" t="n">
        <v>319.66</v>
      </c>
      <c r="BJ2" s="2" t="n">
        <v>13846</v>
      </c>
      <c r="BK2" s="2" t="n">
        <v>907</v>
      </c>
      <c r="BL2" s="2" t="s">
        <v>140</v>
      </c>
      <c r="BM2" s="2" t="s">
        <v>118</v>
      </c>
      <c r="BN2" s="2" t="s">
        <v>141</v>
      </c>
      <c r="BO2" s="2" t="s">
        <v>142</v>
      </c>
      <c r="BP2" s="2" t="s">
        <v>143</v>
      </c>
      <c r="BQ2" s="2" t="n">
        <v>30.3</v>
      </c>
      <c r="BR2" s="2" t="n">
        <v>5</v>
      </c>
      <c r="BS2" s="2" t="s">
        <v>118</v>
      </c>
      <c r="BT2" s="2" t="n">
        <v>5</v>
      </c>
      <c r="BU2" s="2" t="n">
        <v>16.5</v>
      </c>
      <c r="BV2" s="2" t="n">
        <v>16</v>
      </c>
      <c r="BW2" s="3" t="n">
        <v>45548</v>
      </c>
      <c r="BX2" s="2" t="n">
        <v>5</v>
      </c>
      <c r="BY2" s="2" t="n">
        <v>118</v>
      </c>
      <c r="BZ2" s="2" t="s">
        <v>117</v>
      </c>
      <c r="CA2" s="2" t="n">
        <v>-60</v>
      </c>
      <c r="CB2" s="2" t="n">
        <v>7</v>
      </c>
      <c r="CC2" s="2" t="n">
        <v>2</v>
      </c>
      <c r="CD2" s="2" t="n">
        <v>20.4</v>
      </c>
      <c r="CE2" s="4" t="n">
        <v>3268.94</v>
      </c>
      <c r="CF2" s="5" t="n">
        <v>76.3</v>
      </c>
      <c r="CG2" s="2" t="n">
        <v>404</v>
      </c>
      <c r="CH2" s="2" t="s">
        <v>144</v>
      </c>
      <c r="CI2" s="2" t="s">
        <v>118</v>
      </c>
      <c r="CJ2" s="2" t="n">
        <v>3</v>
      </c>
      <c r="CK2" s="2" t="n">
        <v>42</v>
      </c>
      <c r="CL2" s="4" t="n">
        <v>508.85</v>
      </c>
      <c r="CM2" s="2" t="n">
        <v>397</v>
      </c>
      <c r="CN2" s="2" t="s">
        <v>117</v>
      </c>
      <c r="CO2" s="4" t="n">
        <f aca="false">AH2*AI2</f>
        <v>39.05</v>
      </c>
      <c r="CP2" s="4" t="n">
        <f aca="false">CO2*AJ2</f>
        <v>0</v>
      </c>
      <c r="CQ2" s="4" t="n">
        <f aca="false">(CO2-CP2)*AK2</f>
        <v>3.124</v>
      </c>
      <c r="CR2" s="4" t="n">
        <f aca="false">CO2-CP2+CQ2+AL2</f>
        <v>56.604</v>
      </c>
      <c r="CS2" s="4" t="n">
        <f aca="false">CR2-(AP2*AH2)-AL2</f>
        <v>28.504</v>
      </c>
      <c r="CT2" s="5" t="n">
        <f aca="false">IFERROR(CS2/CR2,0)</f>
        <v>0.503568652392057</v>
      </c>
      <c r="CU2" s="6" t="n">
        <f aca="false">IFERROR(BK2/BJ2,0)</f>
        <v>0.0655062834031489</v>
      </c>
      <c r="CV2" s="2" t="str">
        <f aca="false">IF(AY2="N/A","N/A",AY2-AX2)</f>
        <v>N/A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150</v>
      </c>
      <c r="G3" s="2" t="n">
        <v>35</v>
      </c>
      <c r="H3" s="3" t="n">
        <v>32911</v>
      </c>
      <c r="I3" s="2" t="s">
        <v>151</v>
      </c>
      <c r="J3" s="2" t="s">
        <v>152</v>
      </c>
      <c r="K3" s="2" t="s">
        <v>152</v>
      </c>
      <c r="L3" s="2" t="s">
        <v>153</v>
      </c>
      <c r="M3" s="2" t="s">
        <v>154</v>
      </c>
      <c r="N3" s="3" t="n">
        <v>44389</v>
      </c>
      <c r="O3" s="2" t="s">
        <v>155</v>
      </c>
      <c r="P3" s="2" t="n">
        <v>4089</v>
      </c>
      <c r="Q3" s="2" t="s">
        <v>156</v>
      </c>
      <c r="R3" s="2" t="s">
        <v>113</v>
      </c>
      <c r="S3" s="2" t="s">
        <v>114</v>
      </c>
      <c r="T3" s="2" t="s">
        <v>157</v>
      </c>
      <c r="U3" s="2" t="s">
        <v>158</v>
      </c>
      <c r="V3" s="2" t="s">
        <v>117</v>
      </c>
      <c r="W3" s="2" t="s">
        <v>117</v>
      </c>
      <c r="X3" s="2" t="s">
        <v>159</v>
      </c>
      <c r="Y3" s="3" t="n">
        <v>45697</v>
      </c>
      <c r="Z3" s="2" t="s">
        <v>160</v>
      </c>
      <c r="AA3" s="2" t="s">
        <v>161</v>
      </c>
      <c r="AB3" s="2" t="s">
        <v>162</v>
      </c>
      <c r="AC3" s="2" t="s">
        <v>163</v>
      </c>
      <c r="AD3" s="2" t="s">
        <v>164</v>
      </c>
      <c r="AE3" s="2" t="s">
        <v>165</v>
      </c>
      <c r="AF3" s="2" t="s">
        <v>166</v>
      </c>
      <c r="AG3" s="2" t="s">
        <v>167</v>
      </c>
      <c r="AH3" s="2" t="n">
        <v>2</v>
      </c>
      <c r="AI3" s="4" t="n">
        <v>132.35</v>
      </c>
      <c r="AJ3" s="5" t="n">
        <v>0.1</v>
      </c>
      <c r="AK3" s="5" t="n">
        <v>0.08</v>
      </c>
      <c r="AL3" s="4" t="n">
        <v>24.3</v>
      </c>
      <c r="AM3" s="2" t="s">
        <v>168</v>
      </c>
      <c r="AN3" s="2" t="s">
        <v>129</v>
      </c>
      <c r="AO3" s="2" t="s">
        <v>169</v>
      </c>
      <c r="AP3" s="4" t="n">
        <v>66.17</v>
      </c>
      <c r="AQ3" s="2" t="s">
        <v>170</v>
      </c>
      <c r="AR3" s="2" t="s">
        <v>171</v>
      </c>
      <c r="AS3" s="2" t="s">
        <v>152</v>
      </c>
      <c r="AT3" s="2" t="s">
        <v>151</v>
      </c>
      <c r="AU3" s="2" t="s">
        <v>172</v>
      </c>
      <c r="AV3" s="2" t="s">
        <v>173</v>
      </c>
      <c r="AW3" s="2" t="s">
        <v>174</v>
      </c>
      <c r="AX3" s="3" t="n">
        <v>45705</v>
      </c>
      <c r="AY3" s="3" t="n">
        <v>45709</v>
      </c>
      <c r="AZ3" s="2" t="s">
        <v>175</v>
      </c>
      <c r="BA3" s="2" t="s">
        <v>118</v>
      </c>
      <c r="BB3" s="2" t="s">
        <v>113</v>
      </c>
      <c r="BC3" s="2" t="s">
        <v>113</v>
      </c>
      <c r="BD3" s="2" t="s">
        <v>118</v>
      </c>
      <c r="BE3" s="2" t="s">
        <v>113</v>
      </c>
      <c r="BF3" s="2" t="s">
        <v>137</v>
      </c>
      <c r="BG3" s="2" t="s">
        <v>138</v>
      </c>
      <c r="BH3" s="2" t="s">
        <v>176</v>
      </c>
      <c r="BI3" s="4" t="n">
        <v>271.99</v>
      </c>
      <c r="BJ3" s="2" t="n">
        <v>4632</v>
      </c>
      <c r="BK3" s="2" t="n">
        <v>526</v>
      </c>
      <c r="BL3" s="2" t="s">
        <v>113</v>
      </c>
      <c r="BM3" s="2" t="s">
        <v>118</v>
      </c>
      <c r="BN3" s="2" t="s">
        <v>177</v>
      </c>
      <c r="BO3" s="2" t="s">
        <v>178</v>
      </c>
      <c r="BP3" s="2" t="s">
        <v>143</v>
      </c>
      <c r="BQ3" s="2" t="n">
        <v>0.5</v>
      </c>
      <c r="BR3" s="2" t="n">
        <v>21</v>
      </c>
      <c r="BS3" s="2" t="s">
        <v>118</v>
      </c>
      <c r="BT3" s="2" t="n">
        <v>3</v>
      </c>
      <c r="BU3" s="2" t="n">
        <v>27.9</v>
      </c>
      <c r="BV3" s="2" t="n">
        <v>57</v>
      </c>
      <c r="BW3" s="3" t="n">
        <v>45854</v>
      </c>
      <c r="BX3" s="2" t="n">
        <v>3</v>
      </c>
      <c r="BY3" s="2" t="n">
        <v>61</v>
      </c>
      <c r="BZ3" s="2" t="s">
        <v>117</v>
      </c>
      <c r="CA3" s="2" t="n">
        <v>-60</v>
      </c>
      <c r="CB3" s="2" t="n">
        <v>7</v>
      </c>
      <c r="CC3" s="2" t="n">
        <v>4</v>
      </c>
      <c r="CD3" s="2" t="n">
        <v>5</v>
      </c>
      <c r="CE3" s="4" t="n">
        <v>5755.21</v>
      </c>
      <c r="CF3" s="5" t="n">
        <v>99.6</v>
      </c>
      <c r="CG3" s="2" t="n">
        <v>841</v>
      </c>
      <c r="CH3" s="2" t="s">
        <v>144</v>
      </c>
      <c r="CI3" s="2" t="s">
        <v>118</v>
      </c>
      <c r="CJ3" s="2" t="n">
        <v>1</v>
      </c>
      <c r="CK3" s="2" t="n">
        <v>63</v>
      </c>
      <c r="CL3" s="4" t="n">
        <v>493.29</v>
      </c>
      <c r="CM3" s="2" t="n">
        <v>389</v>
      </c>
      <c r="CN3" s="2" t="s">
        <v>118</v>
      </c>
      <c r="CO3" s="4" t="n">
        <f aca="false">AH3*AI3</f>
        <v>264.7</v>
      </c>
      <c r="CP3" s="4" t="n">
        <f aca="false">CO3*AJ3</f>
        <v>26.47</v>
      </c>
      <c r="CQ3" s="4" t="n">
        <f aca="false">(CO3-CP3)*AK3</f>
        <v>19.0584</v>
      </c>
      <c r="CR3" s="4" t="n">
        <f aca="false">CO3-CP3+CQ3+AL3</f>
        <v>281.5884</v>
      </c>
      <c r="CS3" s="4" t="n">
        <f aca="false">CR3-(AP3*AH3)-AL3</f>
        <v>124.9484</v>
      </c>
      <c r="CT3" s="5" t="n">
        <f aca="false">IFERROR(CS3/CR3,0)</f>
        <v>0.443727085348686</v>
      </c>
      <c r="CU3" s="6" t="n">
        <f aca="false">IFERROR(BK3/BJ3,0)</f>
        <v>0.113557858376511</v>
      </c>
      <c r="CV3" s="2" t="n">
        <f aca="false">IF(AY3="N/A","N/A",AY3-AX3)</f>
        <v>4</v>
      </c>
    </row>
    <row r="4" customFormat="false" ht="15" hidden="false" customHeight="false" outlineLevel="0" collapsed="false">
      <c r="A4" s="2" t="s">
        <v>179</v>
      </c>
      <c r="B4" s="2" t="s">
        <v>180</v>
      </c>
      <c r="C4" s="2" t="s">
        <v>181</v>
      </c>
      <c r="D4" s="2" t="s">
        <v>182</v>
      </c>
      <c r="E4" s="2" t="s">
        <v>183</v>
      </c>
      <c r="F4" s="2" t="s">
        <v>184</v>
      </c>
      <c r="G4" s="2" t="n">
        <v>48</v>
      </c>
      <c r="H4" s="3" t="n">
        <v>28374</v>
      </c>
      <c r="I4" s="2" t="s">
        <v>106</v>
      </c>
      <c r="J4" s="2" t="s">
        <v>185</v>
      </c>
      <c r="K4" s="2" t="s">
        <v>186</v>
      </c>
      <c r="L4" s="2" t="s">
        <v>187</v>
      </c>
      <c r="M4" s="2" t="s">
        <v>188</v>
      </c>
      <c r="N4" s="3" t="n">
        <v>45262</v>
      </c>
      <c r="O4" s="2" t="s">
        <v>111</v>
      </c>
      <c r="P4" s="2" t="n">
        <v>3466</v>
      </c>
      <c r="Q4" s="2" t="s">
        <v>189</v>
      </c>
      <c r="R4" s="2" t="s">
        <v>113</v>
      </c>
      <c r="S4" s="2" t="s">
        <v>190</v>
      </c>
      <c r="T4" s="2" t="s">
        <v>191</v>
      </c>
      <c r="U4" s="2" t="s">
        <v>116</v>
      </c>
      <c r="V4" s="2" t="s">
        <v>117</v>
      </c>
      <c r="W4" s="2" t="s">
        <v>117</v>
      </c>
      <c r="X4" s="2" t="s">
        <v>192</v>
      </c>
      <c r="Y4" s="3" t="n">
        <v>45508</v>
      </c>
      <c r="Z4" s="2" t="s">
        <v>193</v>
      </c>
      <c r="AA4" s="2" t="s">
        <v>161</v>
      </c>
      <c r="AB4" s="2" t="s">
        <v>162</v>
      </c>
      <c r="AC4" s="2" t="s">
        <v>194</v>
      </c>
      <c r="AD4" s="2" t="s">
        <v>195</v>
      </c>
      <c r="AE4" s="2" t="s">
        <v>125</v>
      </c>
      <c r="AF4" s="2" t="s">
        <v>196</v>
      </c>
      <c r="AG4" s="2" t="s">
        <v>197</v>
      </c>
      <c r="AH4" s="2" t="n">
        <v>3</v>
      </c>
      <c r="AI4" s="4" t="n">
        <v>70.21</v>
      </c>
      <c r="AJ4" s="5" t="n">
        <v>0.25</v>
      </c>
      <c r="AK4" s="5" t="n">
        <v>0.08</v>
      </c>
      <c r="AL4" s="4" t="n">
        <v>8.86</v>
      </c>
      <c r="AM4" s="2" t="s">
        <v>198</v>
      </c>
      <c r="AN4" s="2" t="s">
        <v>129</v>
      </c>
      <c r="AO4" s="2" t="s">
        <v>130</v>
      </c>
      <c r="AP4" s="4" t="n">
        <v>24.57</v>
      </c>
      <c r="AQ4" s="2" t="s">
        <v>199</v>
      </c>
      <c r="AR4" s="2" t="s">
        <v>200</v>
      </c>
      <c r="AS4" s="2" t="s">
        <v>186</v>
      </c>
      <c r="AT4" s="2" t="s">
        <v>106</v>
      </c>
      <c r="AU4" s="2" t="s">
        <v>133</v>
      </c>
      <c r="AV4" s="2" t="s">
        <v>201</v>
      </c>
      <c r="AW4" s="2" t="s">
        <v>202</v>
      </c>
      <c r="AX4" s="3" t="n">
        <v>45511</v>
      </c>
      <c r="AY4" s="3" t="n">
        <v>45512</v>
      </c>
      <c r="AZ4" s="2" t="s">
        <v>203</v>
      </c>
      <c r="BA4" s="2" t="s">
        <v>118</v>
      </c>
      <c r="BB4" s="2" t="s">
        <v>113</v>
      </c>
      <c r="BC4" s="2" t="s">
        <v>113</v>
      </c>
      <c r="BD4" s="2" t="s">
        <v>118</v>
      </c>
      <c r="BE4" s="2" t="s">
        <v>113</v>
      </c>
      <c r="BF4" s="2" t="s">
        <v>204</v>
      </c>
      <c r="BG4" s="2" t="s">
        <v>205</v>
      </c>
      <c r="BH4" s="2" t="s">
        <v>206</v>
      </c>
      <c r="BI4" s="4" t="n">
        <v>99.84</v>
      </c>
      <c r="BJ4" s="2" t="n">
        <v>19377</v>
      </c>
      <c r="BK4" s="2" t="n">
        <v>2273</v>
      </c>
      <c r="BL4" s="2" t="s">
        <v>113</v>
      </c>
      <c r="BM4" s="2" t="s">
        <v>117</v>
      </c>
      <c r="BN4" s="2" t="s">
        <v>141</v>
      </c>
      <c r="BO4" s="2" t="s">
        <v>207</v>
      </c>
      <c r="BP4" s="2" t="s">
        <v>143</v>
      </c>
      <c r="BQ4" s="2" t="n">
        <v>8.7</v>
      </c>
      <c r="BR4" s="2" t="n">
        <v>30</v>
      </c>
      <c r="BS4" s="2" t="s">
        <v>117</v>
      </c>
      <c r="BT4" s="2" t="n">
        <v>2</v>
      </c>
      <c r="BU4" s="2" t="n">
        <v>13.9</v>
      </c>
      <c r="BV4" s="2" t="n">
        <v>56</v>
      </c>
      <c r="BW4" s="3" t="n">
        <v>45608</v>
      </c>
      <c r="BX4" s="2" t="n">
        <v>2</v>
      </c>
      <c r="BY4" s="2" t="n">
        <v>12</v>
      </c>
      <c r="BZ4" s="2" t="s">
        <v>118</v>
      </c>
      <c r="CA4" s="2" t="n">
        <v>61</v>
      </c>
      <c r="CB4" s="2" t="n">
        <v>1</v>
      </c>
      <c r="CC4" s="2" t="n">
        <v>1</v>
      </c>
      <c r="CD4" s="2" t="n">
        <v>5.3</v>
      </c>
      <c r="CE4" s="4" t="n">
        <v>519.62</v>
      </c>
      <c r="CF4" s="5" t="n">
        <v>33</v>
      </c>
      <c r="CG4" s="2" t="n">
        <v>826</v>
      </c>
      <c r="CH4" s="2" t="s">
        <v>144</v>
      </c>
      <c r="CI4" s="2" t="s">
        <v>118</v>
      </c>
      <c r="CJ4" s="2" t="n">
        <v>1</v>
      </c>
      <c r="CK4" s="2" t="n">
        <v>31</v>
      </c>
      <c r="CL4" s="4" t="n">
        <v>116.46</v>
      </c>
      <c r="CM4" s="2" t="n">
        <v>248</v>
      </c>
      <c r="CN4" s="2" t="s">
        <v>118</v>
      </c>
      <c r="CO4" s="4" t="n">
        <f aca="false">AH4*AI4</f>
        <v>210.63</v>
      </c>
      <c r="CP4" s="4" t="n">
        <f aca="false">CO4*AJ4</f>
        <v>52.6575</v>
      </c>
      <c r="CQ4" s="4" t="n">
        <f aca="false">(CO4-CP4)*AK4</f>
        <v>12.6378</v>
      </c>
      <c r="CR4" s="4" t="n">
        <f aca="false">CO4-CP4+CQ4+AL4</f>
        <v>179.4703</v>
      </c>
      <c r="CS4" s="4" t="n">
        <f aca="false">CR4-(AP4*AH4)-AL4</f>
        <v>96.9003</v>
      </c>
      <c r="CT4" s="5" t="n">
        <f aca="false">IFERROR(CS4/CR4,0)</f>
        <v>0.539923875983937</v>
      </c>
      <c r="CU4" s="6" t="n">
        <f aca="false">IFERROR(BK4/BJ4,0)</f>
        <v>0.11730402023017</v>
      </c>
      <c r="CV4" s="2" t="n">
        <f aca="false">IF(AY4="N/A","N/A",AY4-AX4)</f>
        <v>1</v>
      </c>
    </row>
    <row r="5" customFormat="false" ht="15" hidden="false" customHeight="false" outlineLevel="0" collapsed="false">
      <c r="A5" s="2" t="s">
        <v>208</v>
      </c>
      <c r="B5" s="2" t="s">
        <v>209</v>
      </c>
      <c r="C5" s="2" t="s">
        <v>210</v>
      </c>
      <c r="D5" s="2" t="s">
        <v>211</v>
      </c>
      <c r="E5" s="2" t="s">
        <v>212</v>
      </c>
      <c r="F5" s="2" t="s">
        <v>105</v>
      </c>
      <c r="G5" s="2" t="n">
        <v>42</v>
      </c>
      <c r="H5" s="3" t="n">
        <v>30329</v>
      </c>
      <c r="I5" s="2" t="s">
        <v>106</v>
      </c>
      <c r="J5" s="2" t="s">
        <v>185</v>
      </c>
      <c r="K5" s="2" t="s">
        <v>186</v>
      </c>
      <c r="L5" s="2" t="s">
        <v>187</v>
      </c>
      <c r="M5" s="2" t="s">
        <v>213</v>
      </c>
      <c r="N5" s="3" t="n">
        <v>44964</v>
      </c>
      <c r="O5" s="2" t="s">
        <v>155</v>
      </c>
      <c r="P5" s="2" t="n">
        <v>4552</v>
      </c>
      <c r="Q5" s="2" t="s">
        <v>214</v>
      </c>
      <c r="R5" s="2" t="s">
        <v>113</v>
      </c>
      <c r="S5" s="2" t="s">
        <v>114</v>
      </c>
      <c r="T5" s="2" t="s">
        <v>157</v>
      </c>
      <c r="U5" s="2" t="s">
        <v>215</v>
      </c>
      <c r="V5" s="2" t="s">
        <v>117</v>
      </c>
      <c r="W5" s="2" t="s">
        <v>118</v>
      </c>
      <c r="X5" s="2" t="s">
        <v>216</v>
      </c>
      <c r="Y5" s="3" t="n">
        <v>45969</v>
      </c>
      <c r="Z5" s="2" t="s">
        <v>217</v>
      </c>
      <c r="AA5" s="2" t="s">
        <v>121</v>
      </c>
      <c r="AB5" s="2" t="s">
        <v>218</v>
      </c>
      <c r="AC5" s="2" t="s">
        <v>219</v>
      </c>
      <c r="AD5" s="2" t="s">
        <v>220</v>
      </c>
      <c r="AE5" s="2" t="s">
        <v>165</v>
      </c>
      <c r="AF5" s="2" t="s">
        <v>166</v>
      </c>
      <c r="AG5" s="2" t="s">
        <v>167</v>
      </c>
      <c r="AH5" s="2" t="n">
        <v>3</v>
      </c>
      <c r="AI5" s="4" t="n">
        <v>118.24</v>
      </c>
      <c r="AJ5" s="5" t="n">
        <v>0</v>
      </c>
      <c r="AK5" s="5" t="n">
        <v>0.08</v>
      </c>
      <c r="AL5" s="4" t="n">
        <v>11.43</v>
      </c>
      <c r="AM5" s="2" t="s">
        <v>221</v>
      </c>
      <c r="AN5" s="2" t="s">
        <v>129</v>
      </c>
      <c r="AO5" s="2" t="s">
        <v>222</v>
      </c>
      <c r="AP5" s="4" t="n">
        <v>59.12</v>
      </c>
      <c r="AQ5" s="2" t="s">
        <v>223</v>
      </c>
      <c r="AR5" s="2" t="s">
        <v>224</v>
      </c>
      <c r="AS5" s="2" t="s">
        <v>186</v>
      </c>
      <c r="AT5" s="2" t="s">
        <v>106</v>
      </c>
      <c r="AU5" s="2" t="s">
        <v>133</v>
      </c>
      <c r="AV5" s="2" t="s">
        <v>173</v>
      </c>
      <c r="AW5" s="2" t="s">
        <v>225</v>
      </c>
      <c r="AX5" s="3" t="n">
        <v>45979</v>
      </c>
      <c r="AY5" s="2" t="s">
        <v>113</v>
      </c>
      <c r="AZ5" s="2" t="s">
        <v>203</v>
      </c>
      <c r="BA5" s="2" t="s">
        <v>118</v>
      </c>
      <c r="BB5" s="2" t="s">
        <v>113</v>
      </c>
      <c r="BC5" s="2" t="s">
        <v>113</v>
      </c>
      <c r="BD5" s="2" t="s">
        <v>118</v>
      </c>
      <c r="BE5" s="2" t="s">
        <v>113</v>
      </c>
      <c r="BF5" s="2" t="s">
        <v>226</v>
      </c>
      <c r="BG5" s="2" t="s">
        <v>227</v>
      </c>
      <c r="BH5" s="2" t="s">
        <v>228</v>
      </c>
      <c r="BI5" s="4" t="n">
        <v>441.03</v>
      </c>
      <c r="BJ5" s="2" t="n">
        <v>19242</v>
      </c>
      <c r="BK5" s="2" t="n">
        <v>1957</v>
      </c>
      <c r="BL5" s="2" t="s">
        <v>113</v>
      </c>
      <c r="BM5" s="2" t="s">
        <v>118</v>
      </c>
      <c r="BN5" s="2" t="s">
        <v>177</v>
      </c>
      <c r="BO5" s="2" t="s">
        <v>229</v>
      </c>
      <c r="BP5" s="2" t="s">
        <v>143</v>
      </c>
      <c r="BQ5" s="2" t="n">
        <v>7.5</v>
      </c>
      <c r="BR5" s="2" t="n">
        <v>35</v>
      </c>
      <c r="BS5" s="2" t="s">
        <v>118</v>
      </c>
      <c r="BT5" s="2" t="n">
        <v>19</v>
      </c>
      <c r="BU5" s="2" t="n">
        <v>29.5</v>
      </c>
      <c r="BV5" s="2" t="n">
        <v>52</v>
      </c>
      <c r="BW5" s="3" t="n">
        <v>46010</v>
      </c>
      <c r="BX5" s="2" t="n">
        <v>5</v>
      </c>
      <c r="BY5" s="2" t="n">
        <v>135</v>
      </c>
      <c r="BZ5" s="2" t="s">
        <v>117</v>
      </c>
      <c r="CA5" s="2" t="n">
        <v>-83</v>
      </c>
      <c r="CB5" s="2" t="n">
        <v>10</v>
      </c>
      <c r="CC5" s="2" t="n">
        <v>0</v>
      </c>
      <c r="CD5" s="2" t="n">
        <v>0</v>
      </c>
      <c r="CE5" s="4" t="n">
        <v>10144.43</v>
      </c>
      <c r="CF5" s="5" t="n">
        <v>23.5</v>
      </c>
      <c r="CG5" s="2" t="n">
        <v>422</v>
      </c>
      <c r="CH5" s="2" t="s">
        <v>144</v>
      </c>
      <c r="CI5" s="2" t="s">
        <v>117</v>
      </c>
      <c r="CJ5" s="2" t="n">
        <v>10</v>
      </c>
      <c r="CK5" s="2" t="n">
        <v>14</v>
      </c>
      <c r="CL5" s="4" t="n">
        <v>564.58</v>
      </c>
      <c r="CM5" s="2" t="n">
        <v>68</v>
      </c>
      <c r="CN5" s="2" t="s">
        <v>118</v>
      </c>
      <c r="CO5" s="4" t="n">
        <f aca="false">AH5*AI5</f>
        <v>354.72</v>
      </c>
      <c r="CP5" s="4" t="n">
        <f aca="false">CO5*AJ5</f>
        <v>0</v>
      </c>
      <c r="CQ5" s="4" t="n">
        <f aca="false">(CO5-CP5)*AK5</f>
        <v>28.3776</v>
      </c>
      <c r="CR5" s="4" t="n">
        <f aca="false">CO5-CP5+CQ5+AL5</f>
        <v>394.5276</v>
      </c>
      <c r="CS5" s="4" t="n">
        <f aca="false">CR5-(AP5*AH5)-AL5</f>
        <v>205.7376</v>
      </c>
      <c r="CT5" s="5" t="n">
        <f aca="false">IFERROR(CS5/CR5,0)</f>
        <v>0.521478345241246</v>
      </c>
      <c r="CU5" s="6" t="n">
        <f aca="false">IFERROR(BK5/BJ5,0)</f>
        <v>0.101704604510966</v>
      </c>
      <c r="CV5" s="2" t="str">
        <f aca="false">IF(AY5="N/A","N/A",AY5-AX5)</f>
        <v>N/A</v>
      </c>
    </row>
    <row r="6" customFormat="false" ht="15" hidden="false" customHeight="false" outlineLevel="0" collapsed="false">
      <c r="A6" s="2" t="s">
        <v>230</v>
      </c>
      <c r="B6" s="2" t="s">
        <v>231</v>
      </c>
      <c r="C6" s="2" t="s">
        <v>232</v>
      </c>
      <c r="D6" s="2" t="s">
        <v>233</v>
      </c>
      <c r="E6" s="2" t="s">
        <v>234</v>
      </c>
      <c r="F6" s="2" t="s">
        <v>184</v>
      </c>
      <c r="G6" s="2" t="n">
        <v>27</v>
      </c>
      <c r="H6" s="3" t="n">
        <v>35925</v>
      </c>
      <c r="I6" s="2" t="s">
        <v>235</v>
      </c>
      <c r="J6" s="2" t="s">
        <v>236</v>
      </c>
      <c r="K6" s="2" t="s">
        <v>236</v>
      </c>
      <c r="L6" s="2" t="s">
        <v>237</v>
      </c>
      <c r="M6" s="2" t="s">
        <v>238</v>
      </c>
      <c r="N6" s="3" t="n">
        <v>43963</v>
      </c>
      <c r="O6" s="2" t="s">
        <v>111</v>
      </c>
      <c r="P6" s="2" t="n">
        <v>1667</v>
      </c>
      <c r="Q6" s="2" t="s">
        <v>239</v>
      </c>
      <c r="R6" s="2" t="s">
        <v>113</v>
      </c>
      <c r="S6" s="2" t="s">
        <v>114</v>
      </c>
      <c r="T6" s="2" t="s">
        <v>157</v>
      </c>
      <c r="U6" s="2" t="s">
        <v>158</v>
      </c>
      <c r="V6" s="2" t="s">
        <v>118</v>
      </c>
      <c r="W6" s="2" t="s">
        <v>117</v>
      </c>
      <c r="X6" s="2" t="s">
        <v>240</v>
      </c>
      <c r="Y6" s="3" t="n">
        <v>45995</v>
      </c>
      <c r="Z6" s="2" t="s">
        <v>241</v>
      </c>
      <c r="AA6" s="2" t="s">
        <v>242</v>
      </c>
      <c r="AB6" s="2" t="s">
        <v>218</v>
      </c>
      <c r="AC6" s="2" t="s">
        <v>243</v>
      </c>
      <c r="AD6" s="2" t="s">
        <v>244</v>
      </c>
      <c r="AE6" s="2" t="s">
        <v>165</v>
      </c>
      <c r="AF6" s="2" t="s">
        <v>245</v>
      </c>
      <c r="AG6" s="2" t="s">
        <v>246</v>
      </c>
      <c r="AH6" s="2" t="n">
        <v>3</v>
      </c>
      <c r="AI6" s="4" t="n">
        <v>453.8</v>
      </c>
      <c r="AJ6" s="5" t="n">
        <v>0</v>
      </c>
      <c r="AK6" s="5" t="n">
        <v>0.08</v>
      </c>
      <c r="AL6" s="4" t="n">
        <v>8.84</v>
      </c>
      <c r="AM6" s="2" t="s">
        <v>247</v>
      </c>
      <c r="AN6" s="2" t="s">
        <v>248</v>
      </c>
      <c r="AO6" s="2" t="s">
        <v>116</v>
      </c>
      <c r="AP6" s="4" t="n">
        <v>226.9</v>
      </c>
      <c r="AQ6" s="2" t="s">
        <v>249</v>
      </c>
      <c r="AR6" s="2" t="s">
        <v>250</v>
      </c>
      <c r="AS6" s="2" t="s">
        <v>236</v>
      </c>
      <c r="AT6" s="2" t="s">
        <v>235</v>
      </c>
      <c r="AU6" s="2" t="s">
        <v>251</v>
      </c>
      <c r="AV6" s="2" t="s">
        <v>134</v>
      </c>
      <c r="AW6" s="2" t="s">
        <v>252</v>
      </c>
      <c r="AX6" s="3" t="n">
        <v>45998</v>
      </c>
      <c r="AY6" s="2" t="s">
        <v>113</v>
      </c>
      <c r="AZ6" s="2" t="s">
        <v>175</v>
      </c>
      <c r="BA6" s="2" t="s">
        <v>117</v>
      </c>
      <c r="BB6" s="2" t="s">
        <v>253</v>
      </c>
      <c r="BC6" s="3" t="n">
        <v>46009</v>
      </c>
      <c r="BD6" s="2" t="s">
        <v>117</v>
      </c>
      <c r="BE6" s="2" t="s">
        <v>254</v>
      </c>
      <c r="BF6" s="2" t="s">
        <v>255</v>
      </c>
      <c r="BG6" s="2" t="s">
        <v>256</v>
      </c>
      <c r="BH6" s="2" t="s">
        <v>257</v>
      </c>
      <c r="BI6" s="4" t="n">
        <v>137.07</v>
      </c>
      <c r="BJ6" s="2" t="n">
        <v>4386</v>
      </c>
      <c r="BK6" s="2" t="n">
        <v>657</v>
      </c>
      <c r="BL6" s="2" t="s">
        <v>113</v>
      </c>
      <c r="BM6" s="2" t="s">
        <v>117</v>
      </c>
      <c r="BN6" s="2" t="s">
        <v>177</v>
      </c>
      <c r="BO6" s="2" t="s">
        <v>258</v>
      </c>
      <c r="BP6" s="2" t="s">
        <v>259</v>
      </c>
      <c r="BQ6" s="2" t="n">
        <v>39.3</v>
      </c>
      <c r="BR6" s="2" t="n">
        <v>31</v>
      </c>
      <c r="BS6" s="2" t="s">
        <v>117</v>
      </c>
      <c r="BT6" s="2" t="n">
        <v>14</v>
      </c>
      <c r="BU6" s="2" t="n">
        <v>11.1</v>
      </c>
      <c r="BV6" s="2" t="n">
        <v>53</v>
      </c>
      <c r="BW6" s="3" t="n">
        <v>46020</v>
      </c>
      <c r="BX6" s="2" t="n">
        <v>5</v>
      </c>
      <c r="BY6" s="2" t="n">
        <v>58</v>
      </c>
      <c r="BZ6" s="2" t="s">
        <v>117</v>
      </c>
      <c r="CA6" s="2" t="n">
        <v>43</v>
      </c>
      <c r="CB6" s="2" t="n">
        <v>1</v>
      </c>
      <c r="CC6" s="2" t="n">
        <v>0</v>
      </c>
      <c r="CD6" s="2" t="n">
        <v>0</v>
      </c>
      <c r="CE6" s="4" t="n">
        <v>1174.9</v>
      </c>
      <c r="CF6" s="5" t="n">
        <v>88.3</v>
      </c>
      <c r="CG6" s="2" t="n">
        <v>452</v>
      </c>
      <c r="CH6" s="2" t="s">
        <v>144</v>
      </c>
      <c r="CI6" s="2" t="s">
        <v>117</v>
      </c>
      <c r="CJ6" s="2" t="n">
        <v>5</v>
      </c>
      <c r="CK6" s="2" t="n">
        <v>36</v>
      </c>
      <c r="CL6" s="4" t="n">
        <v>521.32</v>
      </c>
      <c r="CM6" s="2" t="n">
        <v>395</v>
      </c>
      <c r="CN6" s="2" t="s">
        <v>118</v>
      </c>
      <c r="CO6" s="4" t="n">
        <f aca="false">AH6*AI6</f>
        <v>1361.4</v>
      </c>
      <c r="CP6" s="4" t="n">
        <f aca="false">CO6*AJ6</f>
        <v>0</v>
      </c>
      <c r="CQ6" s="4" t="n">
        <f aca="false">(CO6-CP6)*AK6</f>
        <v>108.912</v>
      </c>
      <c r="CR6" s="4" t="n">
        <f aca="false">CO6-CP6+CQ6+AL6</f>
        <v>1479.152</v>
      </c>
      <c r="CS6" s="4" t="n">
        <f aca="false">CR6-(AP6*AH6)-AL6</f>
        <v>789.612</v>
      </c>
      <c r="CT6" s="5" t="n">
        <f aca="false">IFERROR(CS6/CR6,0)</f>
        <v>0.53382749034582</v>
      </c>
      <c r="CU6" s="6" t="n">
        <f aca="false">IFERROR(BK6/BJ6,0)</f>
        <v>0.149794801641587</v>
      </c>
      <c r="CV6" s="2" t="str">
        <f aca="false">IF(AY6="N/A","N/A",AY6-AX6)</f>
        <v>N/A</v>
      </c>
    </row>
    <row r="7" customFormat="false" ht="15" hidden="false" customHeight="false" outlineLevel="0" collapsed="false">
      <c r="A7" s="2" t="s">
        <v>260</v>
      </c>
      <c r="B7" s="2" t="s">
        <v>261</v>
      </c>
      <c r="C7" s="2" t="s">
        <v>262</v>
      </c>
      <c r="D7" s="2" t="s">
        <v>263</v>
      </c>
      <c r="E7" s="2" t="s">
        <v>264</v>
      </c>
      <c r="F7" s="2" t="s">
        <v>150</v>
      </c>
      <c r="G7" s="2" t="n">
        <v>61</v>
      </c>
      <c r="H7" s="3" t="n">
        <v>23631</v>
      </c>
      <c r="I7" s="2" t="s">
        <v>265</v>
      </c>
      <c r="J7" s="2" t="s">
        <v>266</v>
      </c>
      <c r="K7" s="2" t="s">
        <v>267</v>
      </c>
      <c r="L7" s="2" t="s">
        <v>268</v>
      </c>
      <c r="M7" s="2" t="s">
        <v>269</v>
      </c>
      <c r="N7" s="3" t="n">
        <v>43573</v>
      </c>
      <c r="O7" s="2" t="s">
        <v>111</v>
      </c>
      <c r="P7" s="2" t="n">
        <v>2139</v>
      </c>
      <c r="Q7" s="2" t="s">
        <v>270</v>
      </c>
      <c r="R7" s="2" t="s">
        <v>113</v>
      </c>
      <c r="S7" s="2" t="s">
        <v>114</v>
      </c>
      <c r="T7" s="2" t="s">
        <v>191</v>
      </c>
      <c r="U7" s="2" t="s">
        <v>271</v>
      </c>
      <c r="V7" s="2" t="s">
        <v>117</v>
      </c>
      <c r="W7" s="2" t="s">
        <v>118</v>
      </c>
      <c r="X7" s="2" t="s">
        <v>272</v>
      </c>
      <c r="Y7" s="3" t="n">
        <v>45474</v>
      </c>
      <c r="Z7" s="2" t="s">
        <v>273</v>
      </c>
      <c r="AA7" s="2" t="s">
        <v>161</v>
      </c>
      <c r="AB7" s="2" t="s">
        <v>218</v>
      </c>
      <c r="AC7" s="2" t="s">
        <v>274</v>
      </c>
      <c r="AD7" s="2" t="s">
        <v>124</v>
      </c>
      <c r="AE7" s="2" t="s">
        <v>125</v>
      </c>
      <c r="AF7" s="2" t="s">
        <v>275</v>
      </c>
      <c r="AG7" s="2" t="s">
        <v>127</v>
      </c>
      <c r="AH7" s="2" t="n">
        <v>5</v>
      </c>
      <c r="AI7" s="4" t="n">
        <v>69.71</v>
      </c>
      <c r="AJ7" s="5" t="n">
        <v>0.15</v>
      </c>
      <c r="AK7" s="5" t="n">
        <v>0.08</v>
      </c>
      <c r="AL7" s="4" t="n">
        <v>10.15</v>
      </c>
      <c r="AM7" s="2" t="s">
        <v>221</v>
      </c>
      <c r="AN7" s="2" t="s">
        <v>129</v>
      </c>
      <c r="AO7" s="2" t="s">
        <v>271</v>
      </c>
      <c r="AP7" s="4" t="n">
        <v>24.4</v>
      </c>
      <c r="AQ7" s="2" t="s">
        <v>276</v>
      </c>
      <c r="AR7" s="2" t="s">
        <v>277</v>
      </c>
      <c r="AS7" s="2" t="s">
        <v>267</v>
      </c>
      <c r="AT7" s="2" t="s">
        <v>265</v>
      </c>
      <c r="AU7" s="2" t="s">
        <v>172</v>
      </c>
      <c r="AV7" s="2" t="s">
        <v>278</v>
      </c>
      <c r="AW7" s="2" t="s">
        <v>279</v>
      </c>
      <c r="AX7" s="3" t="n">
        <v>45482</v>
      </c>
      <c r="AY7" s="3" t="n">
        <v>45481</v>
      </c>
      <c r="AZ7" s="2" t="s">
        <v>136</v>
      </c>
      <c r="BA7" s="2" t="s">
        <v>118</v>
      </c>
      <c r="BB7" s="2" t="s">
        <v>113</v>
      </c>
      <c r="BC7" s="2" t="s">
        <v>113</v>
      </c>
      <c r="BD7" s="2" t="s">
        <v>118</v>
      </c>
      <c r="BE7" s="2" t="s">
        <v>113</v>
      </c>
      <c r="BF7" s="2" t="s">
        <v>280</v>
      </c>
      <c r="BG7" s="2" t="s">
        <v>281</v>
      </c>
      <c r="BH7" s="2" t="s">
        <v>282</v>
      </c>
      <c r="BI7" s="4" t="n">
        <v>339.44</v>
      </c>
      <c r="BJ7" s="2" t="n">
        <v>8446</v>
      </c>
      <c r="BK7" s="2" t="n">
        <v>95</v>
      </c>
      <c r="BL7" s="2" t="s">
        <v>113</v>
      </c>
      <c r="BM7" s="2" t="s">
        <v>118</v>
      </c>
      <c r="BN7" s="2" t="s">
        <v>177</v>
      </c>
      <c r="BO7" s="2" t="s">
        <v>229</v>
      </c>
      <c r="BP7" s="2" t="s">
        <v>259</v>
      </c>
      <c r="BQ7" s="2" t="n">
        <v>43.2</v>
      </c>
      <c r="BR7" s="2" t="n">
        <v>11</v>
      </c>
      <c r="BS7" s="2" t="s">
        <v>118</v>
      </c>
      <c r="BT7" s="2" t="n">
        <v>9</v>
      </c>
      <c r="BU7" s="2" t="n">
        <v>15.9</v>
      </c>
      <c r="BV7" s="2" t="n">
        <v>41</v>
      </c>
      <c r="BW7" s="3" t="n">
        <v>45817</v>
      </c>
      <c r="BX7" s="2" t="n">
        <v>5</v>
      </c>
      <c r="BY7" s="2" t="n">
        <v>23</v>
      </c>
      <c r="BZ7" s="2" t="s">
        <v>118</v>
      </c>
      <c r="CA7" s="2" t="n">
        <v>89</v>
      </c>
      <c r="CB7" s="2" t="n">
        <v>4</v>
      </c>
      <c r="CC7" s="2" t="n">
        <v>2</v>
      </c>
      <c r="CD7" s="2" t="n">
        <v>31.3</v>
      </c>
      <c r="CE7" s="4" t="n">
        <v>14235.67</v>
      </c>
      <c r="CF7" s="5" t="n">
        <v>92.1</v>
      </c>
      <c r="CG7" s="2" t="n">
        <v>621</v>
      </c>
      <c r="CH7" s="2" t="s">
        <v>283</v>
      </c>
      <c r="CI7" s="2" t="s">
        <v>118</v>
      </c>
      <c r="CJ7" s="2" t="n">
        <v>3</v>
      </c>
      <c r="CK7" s="2" t="n">
        <v>26</v>
      </c>
      <c r="CL7" s="4" t="n">
        <v>105.47</v>
      </c>
      <c r="CM7" s="2" t="n">
        <v>23</v>
      </c>
      <c r="CN7" s="2" t="s">
        <v>118</v>
      </c>
      <c r="CO7" s="4" t="n">
        <f aca="false">AH7*AI7</f>
        <v>348.55</v>
      </c>
      <c r="CP7" s="4" t="n">
        <f aca="false">CO7*AJ7</f>
        <v>52.2825</v>
      </c>
      <c r="CQ7" s="4" t="n">
        <f aca="false">(CO7-CP7)*AK7</f>
        <v>23.7014</v>
      </c>
      <c r="CR7" s="4" t="n">
        <f aca="false">CO7-CP7+CQ7+AL7</f>
        <v>330.1189</v>
      </c>
      <c r="CS7" s="4" t="n">
        <f aca="false">CR7-(AP7*AH7)-AL7</f>
        <v>197.9689</v>
      </c>
      <c r="CT7" s="5" t="n">
        <f aca="false">IFERROR(CS7/CR7,0)</f>
        <v>0.599689687564087</v>
      </c>
      <c r="CU7" s="6" t="n">
        <f aca="false">IFERROR(BK7/BJ7,0)</f>
        <v>0.0112479280132607</v>
      </c>
      <c r="CV7" s="2" t="n">
        <f aca="false">IF(AY7="N/A","N/A",AY7-AX7)</f>
        <v>-1</v>
      </c>
    </row>
    <row r="8" customFormat="false" ht="15" hidden="false" customHeight="false" outlineLevel="0" collapsed="false">
      <c r="A8" s="2" t="s">
        <v>284</v>
      </c>
      <c r="B8" s="2" t="s">
        <v>285</v>
      </c>
      <c r="C8" s="2" t="s">
        <v>286</v>
      </c>
      <c r="D8" s="2" t="s">
        <v>287</v>
      </c>
      <c r="E8" s="2" t="s">
        <v>288</v>
      </c>
      <c r="F8" s="2" t="s">
        <v>105</v>
      </c>
      <c r="G8" s="2" t="n">
        <v>47</v>
      </c>
      <c r="H8" s="3" t="n">
        <v>28692</v>
      </c>
      <c r="I8" s="2" t="s">
        <v>151</v>
      </c>
      <c r="J8" s="2" t="s">
        <v>152</v>
      </c>
      <c r="K8" s="2" t="s">
        <v>152</v>
      </c>
      <c r="L8" s="2" t="s">
        <v>153</v>
      </c>
      <c r="M8" s="2" t="s">
        <v>289</v>
      </c>
      <c r="N8" s="3" t="n">
        <v>43897</v>
      </c>
      <c r="O8" s="2" t="s">
        <v>111</v>
      </c>
      <c r="P8" s="2" t="n">
        <v>3145</v>
      </c>
      <c r="Q8" s="2" t="s">
        <v>290</v>
      </c>
      <c r="R8" s="2" t="s">
        <v>113</v>
      </c>
      <c r="S8" s="2" t="s">
        <v>114</v>
      </c>
      <c r="T8" s="2" t="s">
        <v>191</v>
      </c>
      <c r="U8" s="2" t="s">
        <v>116</v>
      </c>
      <c r="V8" s="2" t="s">
        <v>117</v>
      </c>
      <c r="W8" s="2" t="s">
        <v>117</v>
      </c>
      <c r="X8" s="2" t="s">
        <v>291</v>
      </c>
      <c r="Y8" s="3" t="n">
        <v>45798</v>
      </c>
      <c r="Z8" s="2" t="s">
        <v>292</v>
      </c>
      <c r="AA8" s="2" t="s">
        <v>161</v>
      </c>
      <c r="AB8" s="2" t="s">
        <v>218</v>
      </c>
      <c r="AC8" s="2" t="s">
        <v>293</v>
      </c>
      <c r="AD8" s="2" t="s">
        <v>294</v>
      </c>
      <c r="AE8" s="2" t="s">
        <v>295</v>
      </c>
      <c r="AF8" s="2" t="s">
        <v>296</v>
      </c>
      <c r="AG8" s="2" t="s">
        <v>297</v>
      </c>
      <c r="AH8" s="2" t="n">
        <v>1</v>
      </c>
      <c r="AI8" s="4" t="n">
        <v>71.17</v>
      </c>
      <c r="AJ8" s="5" t="n">
        <v>0.05</v>
      </c>
      <c r="AK8" s="5" t="n">
        <v>0.08</v>
      </c>
      <c r="AL8" s="4" t="n">
        <v>8.4</v>
      </c>
      <c r="AM8" s="2" t="s">
        <v>247</v>
      </c>
      <c r="AN8" s="2" t="s">
        <v>129</v>
      </c>
      <c r="AO8" s="2" t="s">
        <v>271</v>
      </c>
      <c r="AP8" s="4" t="n">
        <v>28.47</v>
      </c>
      <c r="AQ8" s="2" t="s">
        <v>298</v>
      </c>
      <c r="AR8" s="2" t="s">
        <v>299</v>
      </c>
      <c r="AS8" s="2" t="s">
        <v>152</v>
      </c>
      <c r="AT8" s="2" t="s">
        <v>151</v>
      </c>
      <c r="AU8" s="2" t="s">
        <v>251</v>
      </c>
      <c r="AV8" s="2" t="s">
        <v>278</v>
      </c>
      <c r="AW8" s="2" t="s">
        <v>300</v>
      </c>
      <c r="AX8" s="3" t="n">
        <v>45802</v>
      </c>
      <c r="AY8" s="3" t="n">
        <v>45807</v>
      </c>
      <c r="AZ8" s="2" t="s">
        <v>301</v>
      </c>
      <c r="BA8" s="2" t="s">
        <v>118</v>
      </c>
      <c r="BB8" s="2" t="s">
        <v>113</v>
      </c>
      <c r="BC8" s="2" t="s">
        <v>113</v>
      </c>
      <c r="BD8" s="2" t="s">
        <v>118</v>
      </c>
      <c r="BE8" s="2" t="s">
        <v>113</v>
      </c>
      <c r="BF8" s="2" t="s">
        <v>226</v>
      </c>
      <c r="BG8" s="2" t="s">
        <v>302</v>
      </c>
      <c r="BH8" s="2" t="s">
        <v>303</v>
      </c>
      <c r="BI8" s="4" t="n">
        <v>168.79</v>
      </c>
      <c r="BJ8" s="2" t="n">
        <v>4076</v>
      </c>
      <c r="BK8" s="2" t="n">
        <v>472</v>
      </c>
      <c r="BL8" s="2" t="s">
        <v>113</v>
      </c>
      <c r="BM8" s="2" t="s">
        <v>117</v>
      </c>
      <c r="BN8" s="2" t="s">
        <v>304</v>
      </c>
      <c r="BO8" s="2" t="s">
        <v>229</v>
      </c>
      <c r="BP8" s="2" t="s">
        <v>259</v>
      </c>
      <c r="BQ8" s="2" t="n">
        <v>37.6</v>
      </c>
      <c r="BR8" s="2" t="n">
        <v>25</v>
      </c>
      <c r="BS8" s="2" t="s">
        <v>118</v>
      </c>
      <c r="BT8" s="2" t="n">
        <v>18</v>
      </c>
      <c r="BU8" s="2" t="n">
        <v>28.4</v>
      </c>
      <c r="BV8" s="2" t="n">
        <v>2</v>
      </c>
      <c r="BW8" s="3" t="n">
        <v>46017</v>
      </c>
      <c r="BX8" s="2" t="n">
        <v>5</v>
      </c>
      <c r="BY8" s="2" t="n">
        <v>147</v>
      </c>
      <c r="BZ8" s="2" t="s">
        <v>117</v>
      </c>
      <c r="CA8" s="2" t="n">
        <v>93</v>
      </c>
      <c r="CB8" s="2" t="n">
        <v>8</v>
      </c>
      <c r="CC8" s="2" t="n">
        <v>4</v>
      </c>
      <c r="CD8" s="2" t="n">
        <v>58.8</v>
      </c>
      <c r="CE8" s="4" t="n">
        <v>13385.7</v>
      </c>
      <c r="CF8" s="5" t="n">
        <v>42.7</v>
      </c>
      <c r="CG8" s="2" t="n">
        <v>756</v>
      </c>
      <c r="CH8" s="2" t="s">
        <v>283</v>
      </c>
      <c r="CI8" s="2" t="s">
        <v>118</v>
      </c>
      <c r="CJ8" s="2" t="n">
        <v>4</v>
      </c>
      <c r="CK8" s="2" t="n">
        <v>50</v>
      </c>
      <c r="CL8" s="4" t="n">
        <v>515</v>
      </c>
      <c r="CM8" s="2" t="n">
        <v>214</v>
      </c>
      <c r="CN8" s="2" t="s">
        <v>118</v>
      </c>
      <c r="CO8" s="4" t="n">
        <f aca="false">AH8*AI8</f>
        <v>71.17</v>
      </c>
      <c r="CP8" s="4" t="n">
        <f aca="false">CO8*AJ8</f>
        <v>3.5585</v>
      </c>
      <c r="CQ8" s="4" t="n">
        <f aca="false">(CO8-CP8)*AK8</f>
        <v>5.40892</v>
      </c>
      <c r="CR8" s="4" t="n">
        <f aca="false">CO8-CP8+CQ8+AL8</f>
        <v>81.42042</v>
      </c>
      <c r="CS8" s="4" t="n">
        <f aca="false">CR8-(AP8*AH8)-AL8</f>
        <v>44.55042</v>
      </c>
      <c r="CT8" s="5" t="n">
        <f aca="false">IFERROR(CS8/CR8,0)</f>
        <v>0.547165195168485</v>
      </c>
      <c r="CU8" s="6" t="n">
        <f aca="false">IFERROR(BK8/BJ8,0)</f>
        <v>0.115799803729146</v>
      </c>
      <c r="CV8" s="2" t="n">
        <f aca="false">IF(AY8="N/A","N/A",AY8-AX8)</f>
        <v>5</v>
      </c>
    </row>
    <row r="9" customFormat="false" ht="15" hidden="false" customHeight="false" outlineLevel="0" collapsed="false">
      <c r="A9" s="2" t="s">
        <v>305</v>
      </c>
      <c r="B9" s="2" t="s">
        <v>306</v>
      </c>
      <c r="C9" s="2" t="s">
        <v>307</v>
      </c>
      <c r="D9" s="2" t="s">
        <v>308</v>
      </c>
      <c r="E9" s="2" t="s">
        <v>309</v>
      </c>
      <c r="F9" s="2" t="s">
        <v>184</v>
      </c>
      <c r="G9" s="2" t="n">
        <v>75</v>
      </c>
      <c r="H9" s="3" t="n">
        <v>18369</v>
      </c>
      <c r="I9" s="2" t="s">
        <v>106</v>
      </c>
      <c r="J9" s="2" t="s">
        <v>107</v>
      </c>
      <c r="K9" s="2" t="s">
        <v>108</v>
      </c>
      <c r="L9" s="2" t="s">
        <v>109</v>
      </c>
      <c r="M9" s="2" t="s">
        <v>310</v>
      </c>
      <c r="N9" s="3" t="n">
        <v>44218</v>
      </c>
      <c r="O9" s="2" t="s">
        <v>311</v>
      </c>
      <c r="P9" s="2" t="n">
        <v>237</v>
      </c>
      <c r="Q9" s="2" t="s">
        <v>312</v>
      </c>
      <c r="R9" s="2" t="s">
        <v>113</v>
      </c>
      <c r="S9" s="2" t="s">
        <v>114</v>
      </c>
      <c r="T9" s="2" t="s">
        <v>115</v>
      </c>
      <c r="U9" s="2" t="s">
        <v>169</v>
      </c>
      <c r="V9" s="2" t="s">
        <v>118</v>
      </c>
      <c r="W9" s="2" t="s">
        <v>118</v>
      </c>
      <c r="X9" s="2" t="s">
        <v>313</v>
      </c>
      <c r="Y9" s="3" t="n">
        <v>45690</v>
      </c>
      <c r="Z9" s="2" t="s">
        <v>314</v>
      </c>
      <c r="AA9" s="2" t="s">
        <v>161</v>
      </c>
      <c r="AB9" s="2" t="s">
        <v>218</v>
      </c>
      <c r="AC9" s="2" t="s">
        <v>315</v>
      </c>
      <c r="AD9" s="2" t="s">
        <v>316</v>
      </c>
      <c r="AE9" s="2" t="s">
        <v>317</v>
      </c>
      <c r="AF9" s="2" t="s">
        <v>318</v>
      </c>
      <c r="AG9" s="2" t="s">
        <v>319</v>
      </c>
      <c r="AH9" s="2" t="n">
        <v>2</v>
      </c>
      <c r="AI9" s="4" t="n">
        <v>637.76</v>
      </c>
      <c r="AJ9" s="5" t="n">
        <v>0</v>
      </c>
      <c r="AK9" s="5" t="n">
        <v>0.08</v>
      </c>
      <c r="AL9" s="4" t="n">
        <v>3.16</v>
      </c>
      <c r="AM9" s="2" t="s">
        <v>128</v>
      </c>
      <c r="AN9" s="2" t="s">
        <v>129</v>
      </c>
      <c r="AO9" s="2" t="s">
        <v>271</v>
      </c>
      <c r="AP9" s="4" t="n">
        <v>318.88</v>
      </c>
      <c r="AQ9" s="2" t="s">
        <v>320</v>
      </c>
      <c r="AR9" s="2" t="s">
        <v>321</v>
      </c>
      <c r="AS9" s="2" t="s">
        <v>108</v>
      </c>
      <c r="AT9" s="2" t="s">
        <v>106</v>
      </c>
      <c r="AU9" s="2" t="s">
        <v>322</v>
      </c>
      <c r="AV9" s="2" t="s">
        <v>134</v>
      </c>
      <c r="AW9" s="2" t="s">
        <v>323</v>
      </c>
      <c r="AX9" s="3" t="n">
        <v>45698</v>
      </c>
      <c r="AY9" s="3" t="n">
        <v>45696</v>
      </c>
      <c r="AZ9" s="2" t="s">
        <v>301</v>
      </c>
      <c r="BA9" s="2" t="s">
        <v>118</v>
      </c>
      <c r="BB9" s="2" t="s">
        <v>113</v>
      </c>
      <c r="BC9" s="2" t="s">
        <v>113</v>
      </c>
      <c r="BD9" s="2" t="s">
        <v>118</v>
      </c>
      <c r="BE9" s="2" t="s">
        <v>113</v>
      </c>
      <c r="BF9" s="2" t="s">
        <v>324</v>
      </c>
      <c r="BG9" s="2" t="s">
        <v>325</v>
      </c>
      <c r="BH9" s="2" t="s">
        <v>326</v>
      </c>
      <c r="BI9" s="4" t="n">
        <v>58.51</v>
      </c>
      <c r="BJ9" s="2" t="n">
        <v>15228</v>
      </c>
      <c r="BK9" s="2" t="n">
        <v>749</v>
      </c>
      <c r="BL9" s="2" t="s">
        <v>327</v>
      </c>
      <c r="BM9" s="2" t="s">
        <v>118</v>
      </c>
      <c r="BN9" s="2" t="s">
        <v>304</v>
      </c>
      <c r="BO9" s="2" t="s">
        <v>258</v>
      </c>
      <c r="BP9" s="2" t="s">
        <v>328</v>
      </c>
      <c r="BQ9" s="2" t="n">
        <v>40.9</v>
      </c>
      <c r="BR9" s="2" t="n">
        <v>25</v>
      </c>
      <c r="BS9" s="2" t="s">
        <v>118</v>
      </c>
      <c r="BT9" s="2" t="n">
        <v>6</v>
      </c>
      <c r="BU9" s="2" t="n">
        <v>3.2</v>
      </c>
      <c r="BV9" s="2" t="n">
        <v>45</v>
      </c>
      <c r="BW9" s="3" t="n">
        <v>46011</v>
      </c>
      <c r="BX9" s="2" t="n">
        <v>4</v>
      </c>
      <c r="BY9" s="2" t="n">
        <v>62</v>
      </c>
      <c r="BZ9" s="2" t="s">
        <v>117</v>
      </c>
      <c r="CA9" s="2" t="n">
        <v>-17</v>
      </c>
      <c r="CB9" s="2" t="n">
        <v>6</v>
      </c>
      <c r="CC9" s="2" t="n">
        <v>3</v>
      </c>
      <c r="CD9" s="2" t="n">
        <v>20.4</v>
      </c>
      <c r="CE9" s="4" t="n">
        <v>14270.5</v>
      </c>
      <c r="CF9" s="5" t="n">
        <v>42.2</v>
      </c>
      <c r="CG9" s="2" t="n">
        <v>383</v>
      </c>
      <c r="CH9" s="2" t="s">
        <v>329</v>
      </c>
      <c r="CI9" s="2" t="s">
        <v>118</v>
      </c>
      <c r="CJ9" s="2" t="n">
        <v>9</v>
      </c>
      <c r="CK9" s="2" t="n">
        <v>16</v>
      </c>
      <c r="CL9" s="4" t="n">
        <v>481.81</v>
      </c>
      <c r="CM9" s="2" t="n">
        <v>289</v>
      </c>
      <c r="CN9" s="2" t="s">
        <v>118</v>
      </c>
      <c r="CO9" s="4" t="n">
        <f aca="false">AH9*AI9</f>
        <v>1275.52</v>
      </c>
      <c r="CP9" s="4" t="n">
        <f aca="false">CO9*AJ9</f>
        <v>0</v>
      </c>
      <c r="CQ9" s="4" t="n">
        <f aca="false">(CO9-CP9)*AK9</f>
        <v>102.0416</v>
      </c>
      <c r="CR9" s="4" t="n">
        <f aca="false">CO9-CP9+CQ9+AL9</f>
        <v>1380.7216</v>
      </c>
      <c r="CS9" s="4" t="n">
        <f aca="false">CR9-(AP9*AH9)-AL9</f>
        <v>739.8016</v>
      </c>
      <c r="CT9" s="5" t="n">
        <f aca="false">IFERROR(CS9/CR9,0)</f>
        <v>0.535807942745301</v>
      </c>
      <c r="CU9" s="6" t="n">
        <f aca="false">IFERROR(BK9/BJ9,0)</f>
        <v>0.0491857105332283</v>
      </c>
      <c r="CV9" s="2" t="n">
        <f aca="false">IF(AY9="N/A","N/A",AY9-AX9)</f>
        <v>-2</v>
      </c>
    </row>
    <row r="10" customFormat="false" ht="15" hidden="false" customHeight="false" outlineLevel="0" collapsed="false">
      <c r="A10" s="2" t="s">
        <v>330</v>
      </c>
      <c r="B10" s="2" t="s">
        <v>331</v>
      </c>
      <c r="C10" s="2" t="s">
        <v>332</v>
      </c>
      <c r="D10" s="2" t="s">
        <v>333</v>
      </c>
      <c r="E10" s="2" t="s">
        <v>334</v>
      </c>
      <c r="F10" s="2" t="s">
        <v>150</v>
      </c>
      <c r="G10" s="2" t="n">
        <v>60</v>
      </c>
      <c r="H10" s="3" t="n">
        <v>23896</v>
      </c>
      <c r="I10" s="2" t="s">
        <v>335</v>
      </c>
      <c r="J10" s="2" t="s">
        <v>336</v>
      </c>
      <c r="K10" s="2" t="s">
        <v>336</v>
      </c>
      <c r="L10" s="2" t="s">
        <v>337</v>
      </c>
      <c r="M10" s="2" t="s">
        <v>338</v>
      </c>
      <c r="N10" s="3" t="n">
        <v>44498</v>
      </c>
      <c r="O10" s="2" t="s">
        <v>155</v>
      </c>
      <c r="P10" s="2" t="n">
        <v>3441</v>
      </c>
      <c r="Q10" s="2" t="s">
        <v>339</v>
      </c>
      <c r="R10" s="2" t="s">
        <v>113</v>
      </c>
      <c r="S10" s="2" t="s">
        <v>190</v>
      </c>
      <c r="T10" s="2" t="s">
        <v>115</v>
      </c>
      <c r="U10" s="2" t="s">
        <v>215</v>
      </c>
      <c r="V10" s="2" t="s">
        <v>117</v>
      </c>
      <c r="W10" s="2" t="s">
        <v>117</v>
      </c>
      <c r="X10" s="2" t="s">
        <v>340</v>
      </c>
      <c r="Y10" s="3" t="n">
        <v>45793</v>
      </c>
      <c r="Z10" s="2" t="s">
        <v>341</v>
      </c>
      <c r="AA10" s="2" t="s">
        <v>161</v>
      </c>
      <c r="AB10" s="2" t="s">
        <v>342</v>
      </c>
      <c r="AC10" s="2" t="s">
        <v>343</v>
      </c>
      <c r="AD10" s="2" t="s">
        <v>344</v>
      </c>
      <c r="AE10" s="2" t="s">
        <v>345</v>
      </c>
      <c r="AF10" s="2" t="s">
        <v>346</v>
      </c>
      <c r="AG10" s="2" t="s">
        <v>347</v>
      </c>
      <c r="AH10" s="2" t="n">
        <v>2</v>
      </c>
      <c r="AI10" s="4" t="n">
        <v>800.81</v>
      </c>
      <c r="AJ10" s="5" t="n">
        <v>0.1</v>
      </c>
      <c r="AK10" s="5" t="n">
        <v>0.08</v>
      </c>
      <c r="AL10" s="4" t="n">
        <v>13.88</v>
      </c>
      <c r="AM10" s="2" t="s">
        <v>168</v>
      </c>
      <c r="AN10" s="2" t="s">
        <v>129</v>
      </c>
      <c r="AO10" s="2" t="s">
        <v>130</v>
      </c>
      <c r="AP10" s="4" t="n">
        <v>480.49</v>
      </c>
      <c r="AQ10" s="2" t="s">
        <v>348</v>
      </c>
      <c r="AR10" s="2" t="s">
        <v>349</v>
      </c>
      <c r="AS10" s="2" t="s">
        <v>336</v>
      </c>
      <c r="AT10" s="2" t="s">
        <v>335</v>
      </c>
      <c r="AU10" s="2" t="s">
        <v>350</v>
      </c>
      <c r="AV10" s="2" t="s">
        <v>351</v>
      </c>
      <c r="AW10" s="2" t="s">
        <v>352</v>
      </c>
      <c r="AX10" s="3" t="n">
        <v>45803</v>
      </c>
      <c r="AY10" s="3" t="n">
        <v>45808</v>
      </c>
      <c r="AZ10" s="2" t="s">
        <v>203</v>
      </c>
      <c r="BA10" s="2" t="s">
        <v>118</v>
      </c>
      <c r="BB10" s="2" t="s">
        <v>113</v>
      </c>
      <c r="BC10" s="2" t="s">
        <v>113</v>
      </c>
      <c r="BD10" s="2" t="s">
        <v>118</v>
      </c>
      <c r="BE10" s="2" t="s">
        <v>113</v>
      </c>
      <c r="BF10" s="2" t="s">
        <v>353</v>
      </c>
      <c r="BG10" s="2" t="s">
        <v>354</v>
      </c>
      <c r="BH10" s="2" t="s">
        <v>355</v>
      </c>
      <c r="BI10" s="4" t="n">
        <v>347.43</v>
      </c>
      <c r="BJ10" s="2" t="n">
        <v>19514</v>
      </c>
      <c r="BK10" s="2" t="n">
        <v>1104</v>
      </c>
      <c r="BL10" s="2" t="s">
        <v>356</v>
      </c>
      <c r="BM10" s="2" t="s">
        <v>118</v>
      </c>
      <c r="BN10" s="2" t="s">
        <v>177</v>
      </c>
      <c r="BO10" s="2" t="s">
        <v>178</v>
      </c>
      <c r="BP10" s="2" t="s">
        <v>357</v>
      </c>
      <c r="BQ10" s="2" t="n">
        <v>25.1</v>
      </c>
      <c r="BR10" s="2" t="n">
        <v>23</v>
      </c>
      <c r="BS10" s="2" t="s">
        <v>118</v>
      </c>
      <c r="BT10" s="2" t="n">
        <v>17</v>
      </c>
      <c r="BU10" s="2" t="n">
        <v>10.6</v>
      </c>
      <c r="BV10" s="2" t="n">
        <v>45</v>
      </c>
      <c r="BW10" s="3" t="n">
        <v>45909</v>
      </c>
      <c r="BX10" s="2" t="n">
        <v>5</v>
      </c>
      <c r="BY10" s="2" t="n">
        <v>69</v>
      </c>
      <c r="BZ10" s="2" t="s">
        <v>117</v>
      </c>
      <c r="CA10" s="2" t="n">
        <v>-38</v>
      </c>
      <c r="CB10" s="2" t="n">
        <v>8</v>
      </c>
      <c r="CC10" s="2" t="n">
        <v>4</v>
      </c>
      <c r="CD10" s="2" t="n">
        <v>44.1</v>
      </c>
      <c r="CE10" s="4" t="n">
        <v>5715.89</v>
      </c>
      <c r="CF10" s="5" t="n">
        <v>2.9</v>
      </c>
      <c r="CG10" s="2" t="n">
        <v>632</v>
      </c>
      <c r="CH10" s="2" t="s">
        <v>283</v>
      </c>
      <c r="CI10" s="2" t="s">
        <v>117</v>
      </c>
      <c r="CJ10" s="2" t="n">
        <v>3</v>
      </c>
      <c r="CK10" s="2" t="n">
        <v>41</v>
      </c>
      <c r="CL10" s="4" t="n">
        <v>89.34</v>
      </c>
      <c r="CM10" s="2" t="n">
        <v>274</v>
      </c>
      <c r="CN10" s="2" t="s">
        <v>118</v>
      </c>
      <c r="CO10" s="4" t="n">
        <f aca="false">AH10*AI10</f>
        <v>1601.62</v>
      </c>
      <c r="CP10" s="4" t="n">
        <f aca="false">CO10*AJ10</f>
        <v>160.162</v>
      </c>
      <c r="CQ10" s="4" t="n">
        <f aca="false">(CO10-CP10)*AK10</f>
        <v>115.31664</v>
      </c>
      <c r="CR10" s="4" t="n">
        <f aca="false">CO10-CP10+CQ10+AL10</f>
        <v>1570.65464</v>
      </c>
      <c r="CS10" s="4" t="n">
        <f aca="false">CR10-(AP10*AH10)-AL10</f>
        <v>595.79464</v>
      </c>
      <c r="CT10" s="5" t="n">
        <f aca="false">IFERROR(CS10/CR10,0)</f>
        <v>0.37932886379147</v>
      </c>
      <c r="CU10" s="6" t="n">
        <f aca="false">IFERROR(BK10/BJ10,0)</f>
        <v>0.0565747668340679</v>
      </c>
      <c r="CV10" s="2" t="n">
        <f aca="false">IF(AY10="N/A","N/A",AY10-AX10)</f>
        <v>5</v>
      </c>
    </row>
    <row r="11" customFormat="false" ht="15" hidden="false" customHeight="false" outlineLevel="0" collapsed="false">
      <c r="A11" s="2" t="s">
        <v>358</v>
      </c>
      <c r="B11" s="2" t="s">
        <v>359</v>
      </c>
      <c r="C11" s="2" t="s">
        <v>360</v>
      </c>
      <c r="D11" s="2" t="s">
        <v>361</v>
      </c>
      <c r="E11" s="2" t="s">
        <v>362</v>
      </c>
      <c r="F11" s="2" t="s">
        <v>105</v>
      </c>
      <c r="G11" s="2" t="n">
        <v>31</v>
      </c>
      <c r="H11" s="3" t="n">
        <v>34684</v>
      </c>
      <c r="I11" s="2" t="s">
        <v>106</v>
      </c>
      <c r="J11" s="2" t="s">
        <v>185</v>
      </c>
      <c r="K11" s="2" t="s">
        <v>186</v>
      </c>
      <c r="L11" s="2" t="s">
        <v>187</v>
      </c>
      <c r="M11" s="2" t="s">
        <v>363</v>
      </c>
      <c r="N11" s="3" t="n">
        <v>45249</v>
      </c>
      <c r="O11" s="2" t="s">
        <v>311</v>
      </c>
      <c r="P11" s="2" t="n">
        <v>823</v>
      </c>
      <c r="Q11" s="2" t="s">
        <v>364</v>
      </c>
      <c r="R11" s="2" t="s">
        <v>113</v>
      </c>
      <c r="S11" s="2" t="s">
        <v>114</v>
      </c>
      <c r="T11" s="2" t="s">
        <v>365</v>
      </c>
      <c r="U11" s="2" t="s">
        <v>271</v>
      </c>
      <c r="V11" s="2" t="s">
        <v>118</v>
      </c>
      <c r="W11" s="2" t="s">
        <v>118</v>
      </c>
      <c r="X11" s="2" t="s">
        <v>366</v>
      </c>
      <c r="Y11" s="3" t="n">
        <v>45490</v>
      </c>
      <c r="Z11" s="2" t="s">
        <v>367</v>
      </c>
      <c r="AA11" s="2" t="s">
        <v>368</v>
      </c>
      <c r="AB11" s="2" t="s">
        <v>342</v>
      </c>
      <c r="AC11" s="2" t="s">
        <v>369</v>
      </c>
      <c r="AD11" s="2" t="s">
        <v>370</v>
      </c>
      <c r="AE11" s="2" t="s">
        <v>317</v>
      </c>
      <c r="AF11" s="2" t="s">
        <v>371</v>
      </c>
      <c r="AG11" s="2" t="s">
        <v>372</v>
      </c>
      <c r="AH11" s="2" t="n">
        <v>3</v>
      </c>
      <c r="AI11" s="4" t="n">
        <v>23.98</v>
      </c>
      <c r="AJ11" s="5" t="n">
        <v>0</v>
      </c>
      <c r="AK11" s="5" t="n">
        <v>0.08</v>
      </c>
      <c r="AL11" s="4" t="n">
        <v>19.39</v>
      </c>
      <c r="AM11" s="2" t="s">
        <v>198</v>
      </c>
      <c r="AN11" s="2" t="s">
        <v>129</v>
      </c>
      <c r="AO11" s="2" t="s">
        <v>116</v>
      </c>
      <c r="AP11" s="4" t="n">
        <v>11.99</v>
      </c>
      <c r="AQ11" s="2" t="s">
        <v>373</v>
      </c>
      <c r="AR11" s="2" t="s">
        <v>374</v>
      </c>
      <c r="AS11" s="2" t="s">
        <v>186</v>
      </c>
      <c r="AT11" s="2" t="s">
        <v>106</v>
      </c>
      <c r="AU11" s="2" t="s">
        <v>350</v>
      </c>
      <c r="AV11" s="2" t="s">
        <v>375</v>
      </c>
      <c r="AW11" s="2" t="s">
        <v>376</v>
      </c>
      <c r="AX11" s="3" t="n">
        <v>45496</v>
      </c>
      <c r="AY11" s="2" t="s">
        <v>113</v>
      </c>
      <c r="AZ11" s="2" t="s">
        <v>301</v>
      </c>
      <c r="BA11" s="2" t="s">
        <v>117</v>
      </c>
      <c r="BB11" s="2" t="s">
        <v>377</v>
      </c>
      <c r="BC11" s="3" t="n">
        <v>45504</v>
      </c>
      <c r="BD11" s="2" t="s">
        <v>118</v>
      </c>
      <c r="BE11" s="2" t="s">
        <v>378</v>
      </c>
      <c r="BF11" s="2" t="s">
        <v>226</v>
      </c>
      <c r="BG11" s="2" t="s">
        <v>227</v>
      </c>
      <c r="BH11" s="2" t="s">
        <v>379</v>
      </c>
      <c r="BI11" s="4" t="n">
        <v>136</v>
      </c>
      <c r="BJ11" s="2" t="n">
        <v>9672</v>
      </c>
      <c r="BK11" s="2" t="n">
        <v>1433</v>
      </c>
      <c r="BL11" s="2" t="s">
        <v>380</v>
      </c>
      <c r="BM11" s="2" t="s">
        <v>117</v>
      </c>
      <c r="BN11" s="2" t="s">
        <v>141</v>
      </c>
      <c r="BO11" s="2" t="s">
        <v>258</v>
      </c>
      <c r="BP11" s="2" t="s">
        <v>143</v>
      </c>
      <c r="BQ11" s="2" t="n">
        <v>3.8</v>
      </c>
      <c r="BR11" s="2" t="n">
        <v>1</v>
      </c>
      <c r="BS11" s="2" t="s">
        <v>118</v>
      </c>
      <c r="BT11" s="2" t="n">
        <v>19</v>
      </c>
      <c r="BU11" s="2" t="n">
        <v>14.6</v>
      </c>
      <c r="BV11" s="2" t="n">
        <v>3</v>
      </c>
      <c r="BW11" s="3" t="n">
        <v>45727</v>
      </c>
      <c r="BX11" s="2" t="n">
        <v>5</v>
      </c>
      <c r="BY11" s="2" t="n">
        <v>73</v>
      </c>
      <c r="BZ11" s="2" t="s">
        <v>118</v>
      </c>
      <c r="CA11" s="2" t="n">
        <v>46</v>
      </c>
      <c r="CB11" s="2" t="n">
        <v>5</v>
      </c>
      <c r="CC11" s="2" t="n">
        <v>3</v>
      </c>
      <c r="CD11" s="2" t="n">
        <v>34.7</v>
      </c>
      <c r="CE11" s="4" t="n">
        <v>5143.55</v>
      </c>
      <c r="CF11" s="5" t="n">
        <v>96.5</v>
      </c>
      <c r="CG11" s="2" t="n">
        <v>558</v>
      </c>
      <c r="CH11" s="2" t="s">
        <v>144</v>
      </c>
      <c r="CI11" s="2" t="s">
        <v>118</v>
      </c>
      <c r="CJ11" s="2" t="n">
        <v>1</v>
      </c>
      <c r="CK11" s="2" t="n">
        <v>30</v>
      </c>
      <c r="CL11" s="4" t="n">
        <v>555.87</v>
      </c>
      <c r="CM11" s="2" t="n">
        <v>320</v>
      </c>
      <c r="CN11" s="2" t="s">
        <v>118</v>
      </c>
      <c r="CO11" s="4" t="n">
        <f aca="false">AH11*AI11</f>
        <v>71.94</v>
      </c>
      <c r="CP11" s="4" t="n">
        <f aca="false">CO11*AJ11</f>
        <v>0</v>
      </c>
      <c r="CQ11" s="4" t="n">
        <f aca="false">(CO11-CP11)*AK11</f>
        <v>5.7552</v>
      </c>
      <c r="CR11" s="4" t="n">
        <f aca="false">CO11-CP11+CQ11+AL11</f>
        <v>97.0852</v>
      </c>
      <c r="CS11" s="4" t="n">
        <f aca="false">CR11-(AP11*AH11)-AL11</f>
        <v>41.7252</v>
      </c>
      <c r="CT11" s="5" t="n">
        <f aca="false">IFERROR(CS11/CR11,0)</f>
        <v>0.429779204245343</v>
      </c>
      <c r="CU11" s="6" t="n">
        <f aca="false">IFERROR(BK11/BJ11,0)</f>
        <v>0.148159636062862</v>
      </c>
      <c r="CV11" s="2" t="str">
        <f aca="false">IF(AY11="N/A","N/A",AY11-AX11)</f>
        <v>N/A</v>
      </c>
    </row>
    <row r="12" customFormat="false" ht="15" hidden="false" customHeight="false" outlineLevel="0" collapsed="false">
      <c r="A12" s="2" t="s">
        <v>381</v>
      </c>
      <c r="B12" s="2" t="s">
        <v>382</v>
      </c>
      <c r="C12" s="2" t="s">
        <v>383</v>
      </c>
      <c r="D12" s="2" t="s">
        <v>384</v>
      </c>
      <c r="E12" s="2" t="s">
        <v>385</v>
      </c>
      <c r="F12" s="2" t="s">
        <v>105</v>
      </c>
      <c r="G12" s="2" t="n">
        <v>52</v>
      </c>
      <c r="H12" s="3" t="n">
        <v>26775</v>
      </c>
      <c r="I12" s="2" t="s">
        <v>265</v>
      </c>
      <c r="J12" s="2" t="s">
        <v>386</v>
      </c>
      <c r="K12" s="2" t="s">
        <v>387</v>
      </c>
      <c r="L12" s="2" t="s">
        <v>388</v>
      </c>
      <c r="M12" s="2" t="s">
        <v>389</v>
      </c>
      <c r="N12" s="3" t="n">
        <v>44189</v>
      </c>
      <c r="O12" s="2" t="s">
        <v>111</v>
      </c>
      <c r="P12" s="2" t="n">
        <v>584</v>
      </c>
      <c r="Q12" s="2" t="s">
        <v>390</v>
      </c>
      <c r="R12" s="2" t="s">
        <v>113</v>
      </c>
      <c r="S12" s="2" t="s">
        <v>114</v>
      </c>
      <c r="T12" s="2" t="s">
        <v>157</v>
      </c>
      <c r="U12" s="2" t="s">
        <v>271</v>
      </c>
      <c r="V12" s="2" t="s">
        <v>118</v>
      </c>
      <c r="W12" s="2" t="s">
        <v>117</v>
      </c>
      <c r="X12" s="2" t="s">
        <v>391</v>
      </c>
      <c r="Y12" s="3" t="n">
        <v>45353</v>
      </c>
      <c r="Z12" s="2" t="s">
        <v>392</v>
      </c>
      <c r="AA12" s="2" t="s">
        <v>368</v>
      </c>
      <c r="AB12" s="2" t="s">
        <v>122</v>
      </c>
      <c r="AC12" s="2" t="s">
        <v>393</v>
      </c>
      <c r="AD12" s="2" t="s">
        <v>394</v>
      </c>
      <c r="AE12" s="2" t="s">
        <v>395</v>
      </c>
      <c r="AF12" s="2" t="s">
        <v>396</v>
      </c>
      <c r="AG12" s="2" t="s">
        <v>397</v>
      </c>
      <c r="AH12" s="2" t="n">
        <v>3</v>
      </c>
      <c r="AI12" s="4" t="n">
        <v>102.22</v>
      </c>
      <c r="AJ12" s="5" t="n">
        <v>0.25</v>
      </c>
      <c r="AK12" s="5" t="n">
        <v>0.08</v>
      </c>
      <c r="AL12" s="4" t="n">
        <v>8.33</v>
      </c>
      <c r="AM12" s="2" t="s">
        <v>128</v>
      </c>
      <c r="AN12" s="2" t="s">
        <v>129</v>
      </c>
      <c r="AO12" s="2" t="s">
        <v>271</v>
      </c>
      <c r="AP12" s="4" t="n">
        <v>46</v>
      </c>
      <c r="AQ12" s="2" t="s">
        <v>398</v>
      </c>
      <c r="AR12" s="2" t="s">
        <v>399</v>
      </c>
      <c r="AS12" s="2" t="s">
        <v>387</v>
      </c>
      <c r="AT12" s="2" t="s">
        <v>265</v>
      </c>
      <c r="AU12" s="2" t="s">
        <v>350</v>
      </c>
      <c r="AV12" s="2" t="s">
        <v>375</v>
      </c>
      <c r="AW12" s="2" t="s">
        <v>400</v>
      </c>
      <c r="AX12" s="3" t="n">
        <v>45359</v>
      </c>
      <c r="AY12" s="2" t="s">
        <v>113</v>
      </c>
      <c r="AZ12" s="2" t="s">
        <v>136</v>
      </c>
      <c r="BA12" s="2" t="s">
        <v>117</v>
      </c>
      <c r="BB12" s="2" t="s">
        <v>377</v>
      </c>
      <c r="BC12" s="3" t="n">
        <v>45377</v>
      </c>
      <c r="BD12" s="2" t="s">
        <v>118</v>
      </c>
      <c r="BE12" s="2" t="s">
        <v>378</v>
      </c>
      <c r="BF12" s="2" t="s">
        <v>137</v>
      </c>
      <c r="BG12" s="2" t="s">
        <v>401</v>
      </c>
      <c r="BH12" s="2" t="s">
        <v>402</v>
      </c>
      <c r="BI12" s="4" t="n">
        <v>160.69</v>
      </c>
      <c r="BJ12" s="2" t="n">
        <v>17794</v>
      </c>
      <c r="BK12" s="2" t="n">
        <v>2027</v>
      </c>
      <c r="BL12" s="2" t="s">
        <v>403</v>
      </c>
      <c r="BM12" s="2" t="s">
        <v>118</v>
      </c>
      <c r="BN12" s="2" t="s">
        <v>177</v>
      </c>
      <c r="BO12" s="2" t="s">
        <v>229</v>
      </c>
      <c r="BP12" s="2" t="s">
        <v>143</v>
      </c>
      <c r="BQ12" s="2" t="n">
        <v>37.2</v>
      </c>
      <c r="BR12" s="2" t="n">
        <v>1</v>
      </c>
      <c r="BS12" s="2" t="s">
        <v>118</v>
      </c>
      <c r="BT12" s="2" t="n">
        <v>17</v>
      </c>
      <c r="BU12" s="2" t="n">
        <v>14.4</v>
      </c>
      <c r="BV12" s="2" t="n">
        <v>4</v>
      </c>
      <c r="BW12" s="3" t="n">
        <v>45545</v>
      </c>
      <c r="BX12" s="2" t="n">
        <v>5</v>
      </c>
      <c r="BY12" s="2" t="n">
        <v>132</v>
      </c>
      <c r="BZ12" s="2" t="s">
        <v>117</v>
      </c>
      <c r="CA12" s="2" t="n">
        <v>88</v>
      </c>
      <c r="CB12" s="2" t="n">
        <v>6</v>
      </c>
      <c r="CC12" s="2" t="n">
        <v>4</v>
      </c>
      <c r="CD12" s="2" t="n">
        <v>18.4</v>
      </c>
      <c r="CE12" s="4" t="n">
        <v>1415.34</v>
      </c>
      <c r="CF12" s="5" t="n">
        <v>96.2</v>
      </c>
      <c r="CG12" s="2" t="n">
        <v>321</v>
      </c>
      <c r="CH12" s="2" t="s">
        <v>329</v>
      </c>
      <c r="CI12" s="2" t="s">
        <v>118</v>
      </c>
      <c r="CJ12" s="2" t="n">
        <v>0</v>
      </c>
      <c r="CK12" s="2" t="n">
        <v>27</v>
      </c>
      <c r="CL12" s="4" t="n">
        <v>174.89</v>
      </c>
      <c r="CM12" s="2" t="n">
        <v>67</v>
      </c>
      <c r="CN12" s="2" t="s">
        <v>118</v>
      </c>
      <c r="CO12" s="4" t="n">
        <f aca="false">AH12*AI12</f>
        <v>306.66</v>
      </c>
      <c r="CP12" s="4" t="n">
        <f aca="false">CO12*AJ12</f>
        <v>76.665</v>
      </c>
      <c r="CQ12" s="4" t="n">
        <f aca="false">(CO12-CP12)*AK12</f>
        <v>18.3996</v>
      </c>
      <c r="CR12" s="4" t="n">
        <f aca="false">CO12-CP12+CQ12+AL12</f>
        <v>256.7246</v>
      </c>
      <c r="CS12" s="4" t="n">
        <f aca="false">CR12-(AP12*AH12)-AL12</f>
        <v>110.3946</v>
      </c>
      <c r="CT12" s="5" t="n">
        <f aca="false">IFERROR(CS12/CR12,0)</f>
        <v>0.430011771369008</v>
      </c>
      <c r="CU12" s="6" t="n">
        <f aca="false">IFERROR(BK12/BJ12,0)</f>
        <v>0.113914802742497</v>
      </c>
      <c r="CV12" s="2" t="str">
        <f aca="false">IF(AY12="N/A","N/A",AY12-AX12)</f>
        <v>N/A</v>
      </c>
    </row>
    <row r="13" customFormat="false" ht="15" hidden="false" customHeight="false" outlineLevel="0" collapsed="false">
      <c r="A13" s="2" t="s">
        <v>404</v>
      </c>
      <c r="B13" s="2" t="s">
        <v>405</v>
      </c>
      <c r="C13" s="2" t="s">
        <v>406</v>
      </c>
      <c r="D13" s="2" t="s">
        <v>407</v>
      </c>
      <c r="E13" s="2" t="s">
        <v>408</v>
      </c>
      <c r="F13" s="2" t="s">
        <v>150</v>
      </c>
      <c r="G13" s="2" t="n">
        <v>25</v>
      </c>
      <c r="H13" s="3" t="n">
        <v>36546</v>
      </c>
      <c r="I13" s="2" t="s">
        <v>235</v>
      </c>
      <c r="J13" s="2" t="s">
        <v>236</v>
      </c>
      <c r="K13" s="2" t="s">
        <v>236</v>
      </c>
      <c r="L13" s="2" t="s">
        <v>237</v>
      </c>
      <c r="M13" s="2" t="s">
        <v>409</v>
      </c>
      <c r="N13" s="3" t="n">
        <v>44081</v>
      </c>
      <c r="O13" s="2" t="s">
        <v>111</v>
      </c>
      <c r="P13" s="2" t="n">
        <v>2545</v>
      </c>
      <c r="Q13" s="2" t="s">
        <v>410</v>
      </c>
      <c r="R13" s="2" t="s">
        <v>411</v>
      </c>
      <c r="S13" s="2" t="s">
        <v>114</v>
      </c>
      <c r="T13" s="2" t="s">
        <v>157</v>
      </c>
      <c r="U13" s="2" t="s">
        <v>158</v>
      </c>
      <c r="V13" s="2" t="s">
        <v>117</v>
      </c>
      <c r="W13" s="2" t="s">
        <v>118</v>
      </c>
      <c r="X13" s="2" t="s">
        <v>412</v>
      </c>
      <c r="Y13" s="3" t="n">
        <v>45856</v>
      </c>
      <c r="Z13" s="2" t="s">
        <v>413</v>
      </c>
      <c r="AA13" s="2" t="s">
        <v>414</v>
      </c>
      <c r="AB13" s="2" t="s">
        <v>342</v>
      </c>
      <c r="AC13" s="2" t="s">
        <v>415</v>
      </c>
      <c r="AD13" s="2" t="s">
        <v>416</v>
      </c>
      <c r="AE13" s="2" t="s">
        <v>345</v>
      </c>
      <c r="AF13" s="2" t="s">
        <v>417</v>
      </c>
      <c r="AG13" s="2" t="s">
        <v>418</v>
      </c>
      <c r="AH13" s="2" t="n">
        <v>2</v>
      </c>
      <c r="AI13" s="4" t="n">
        <v>1786.3</v>
      </c>
      <c r="AJ13" s="5" t="n">
        <v>0</v>
      </c>
      <c r="AK13" s="5" t="n">
        <v>0.08</v>
      </c>
      <c r="AL13" s="4" t="n">
        <v>12.11</v>
      </c>
      <c r="AM13" s="2" t="s">
        <v>419</v>
      </c>
      <c r="AN13" s="2" t="s">
        <v>129</v>
      </c>
      <c r="AO13" s="2" t="s">
        <v>222</v>
      </c>
      <c r="AP13" s="4" t="n">
        <v>1071.78</v>
      </c>
      <c r="AQ13" s="2" t="s">
        <v>420</v>
      </c>
      <c r="AR13" s="2" t="s">
        <v>421</v>
      </c>
      <c r="AS13" s="2" t="s">
        <v>236</v>
      </c>
      <c r="AT13" s="2" t="s">
        <v>235</v>
      </c>
      <c r="AU13" s="2" t="s">
        <v>322</v>
      </c>
      <c r="AV13" s="2" t="s">
        <v>134</v>
      </c>
      <c r="AW13" s="2" t="s">
        <v>422</v>
      </c>
      <c r="AX13" s="3" t="n">
        <v>45865</v>
      </c>
      <c r="AY13" s="2" t="s">
        <v>113</v>
      </c>
      <c r="AZ13" s="2" t="s">
        <v>175</v>
      </c>
      <c r="BA13" s="2" t="s">
        <v>118</v>
      </c>
      <c r="BB13" s="2" t="s">
        <v>113</v>
      </c>
      <c r="BC13" s="2" t="s">
        <v>113</v>
      </c>
      <c r="BD13" s="2" t="s">
        <v>118</v>
      </c>
      <c r="BE13" s="2" t="s">
        <v>113</v>
      </c>
      <c r="BF13" s="2" t="s">
        <v>255</v>
      </c>
      <c r="BG13" s="2" t="s">
        <v>423</v>
      </c>
      <c r="BH13" s="2" t="s">
        <v>424</v>
      </c>
      <c r="BI13" s="4" t="n">
        <v>120.61</v>
      </c>
      <c r="BJ13" s="2" t="n">
        <v>9663</v>
      </c>
      <c r="BK13" s="2" t="n">
        <v>1047</v>
      </c>
      <c r="BL13" s="2" t="s">
        <v>113</v>
      </c>
      <c r="BM13" s="2" t="s">
        <v>117</v>
      </c>
      <c r="BN13" s="2" t="s">
        <v>304</v>
      </c>
      <c r="BO13" s="2" t="s">
        <v>258</v>
      </c>
      <c r="BP13" s="2" t="s">
        <v>328</v>
      </c>
      <c r="BQ13" s="2" t="n">
        <v>33.6</v>
      </c>
      <c r="BR13" s="2" t="n">
        <v>25</v>
      </c>
      <c r="BS13" s="2" t="s">
        <v>118</v>
      </c>
      <c r="BT13" s="2" t="n">
        <v>20</v>
      </c>
      <c r="BU13" s="2" t="n">
        <v>29.4</v>
      </c>
      <c r="BV13" s="2" t="n">
        <v>32</v>
      </c>
      <c r="BW13" s="3" t="n">
        <v>45865</v>
      </c>
      <c r="BX13" s="2" t="n">
        <v>4</v>
      </c>
      <c r="BY13" s="2" t="n">
        <v>32</v>
      </c>
      <c r="BZ13" s="2" t="s">
        <v>118</v>
      </c>
      <c r="CA13" s="2" t="n">
        <v>41</v>
      </c>
      <c r="CB13" s="2" t="n">
        <v>3</v>
      </c>
      <c r="CC13" s="2" t="n">
        <v>3</v>
      </c>
      <c r="CD13" s="2" t="n">
        <v>14.1</v>
      </c>
      <c r="CE13" s="4" t="n">
        <v>9010.7</v>
      </c>
      <c r="CF13" s="5" t="n">
        <v>74.6</v>
      </c>
      <c r="CG13" s="2" t="n">
        <v>439</v>
      </c>
      <c r="CH13" s="2" t="s">
        <v>144</v>
      </c>
      <c r="CI13" s="2" t="s">
        <v>117</v>
      </c>
      <c r="CJ13" s="2" t="n">
        <v>1</v>
      </c>
      <c r="CK13" s="2" t="n">
        <v>57</v>
      </c>
      <c r="CL13" s="4" t="n">
        <v>77.83</v>
      </c>
      <c r="CM13" s="2" t="n">
        <v>233</v>
      </c>
      <c r="CN13" s="2" t="s">
        <v>117</v>
      </c>
      <c r="CO13" s="4" t="n">
        <f aca="false">AH13*AI13</f>
        <v>3572.6</v>
      </c>
      <c r="CP13" s="4" t="n">
        <f aca="false">CO13*AJ13</f>
        <v>0</v>
      </c>
      <c r="CQ13" s="4" t="n">
        <f aca="false">(CO13-CP13)*AK13</f>
        <v>285.808</v>
      </c>
      <c r="CR13" s="4" t="n">
        <f aca="false">CO13-CP13+CQ13+AL13</f>
        <v>3870.518</v>
      </c>
      <c r="CS13" s="4" t="n">
        <f aca="false">CR13-(AP13*AH13)-AL13</f>
        <v>1714.848</v>
      </c>
      <c r="CT13" s="5" t="n">
        <f aca="false">IFERROR(CS13/CR13,0)</f>
        <v>0.443053875476099</v>
      </c>
      <c r="CU13" s="6" t="n">
        <f aca="false">IFERROR(BK13/BJ13,0)</f>
        <v>0.10835144365104</v>
      </c>
      <c r="CV13" s="2" t="str">
        <f aca="false">IF(AY13="N/A","N/A",AY13-AX13)</f>
        <v>N/A</v>
      </c>
    </row>
    <row r="14" customFormat="false" ht="15" hidden="false" customHeight="false" outlineLevel="0" collapsed="false">
      <c r="A14" s="2" t="s">
        <v>425</v>
      </c>
      <c r="B14" s="2" t="s">
        <v>426</v>
      </c>
      <c r="C14" s="2" t="s">
        <v>427</v>
      </c>
      <c r="D14" s="2" t="s">
        <v>428</v>
      </c>
      <c r="E14" s="2" t="s">
        <v>429</v>
      </c>
      <c r="F14" s="2" t="s">
        <v>184</v>
      </c>
      <c r="G14" s="2" t="n">
        <v>27</v>
      </c>
      <c r="H14" s="3" t="n">
        <v>35842</v>
      </c>
      <c r="I14" s="2" t="s">
        <v>106</v>
      </c>
      <c r="J14" s="2" t="s">
        <v>185</v>
      </c>
      <c r="K14" s="2" t="s">
        <v>186</v>
      </c>
      <c r="L14" s="2" t="s">
        <v>187</v>
      </c>
      <c r="M14" s="2" t="s">
        <v>430</v>
      </c>
      <c r="N14" s="3" t="n">
        <v>44487</v>
      </c>
      <c r="O14" s="2" t="s">
        <v>311</v>
      </c>
      <c r="P14" s="2" t="n">
        <v>3256</v>
      </c>
      <c r="Q14" s="2" t="s">
        <v>431</v>
      </c>
      <c r="R14" s="2" t="s">
        <v>113</v>
      </c>
      <c r="S14" s="2" t="s">
        <v>114</v>
      </c>
      <c r="T14" s="2" t="s">
        <v>365</v>
      </c>
      <c r="U14" s="2" t="s">
        <v>271</v>
      </c>
      <c r="V14" s="2" t="s">
        <v>117</v>
      </c>
      <c r="W14" s="2" t="s">
        <v>118</v>
      </c>
      <c r="X14" s="2" t="s">
        <v>432</v>
      </c>
      <c r="Y14" s="3" t="n">
        <v>45957</v>
      </c>
      <c r="Z14" s="2" t="s">
        <v>433</v>
      </c>
      <c r="AA14" s="2" t="s">
        <v>414</v>
      </c>
      <c r="AB14" s="2" t="s">
        <v>218</v>
      </c>
      <c r="AC14" s="2" t="s">
        <v>434</v>
      </c>
      <c r="AD14" s="2" t="s">
        <v>344</v>
      </c>
      <c r="AE14" s="2" t="s">
        <v>345</v>
      </c>
      <c r="AF14" s="2" t="s">
        <v>435</v>
      </c>
      <c r="AG14" s="2" t="s">
        <v>436</v>
      </c>
      <c r="AH14" s="2" t="n">
        <v>3</v>
      </c>
      <c r="AI14" s="4" t="n">
        <v>1139.43</v>
      </c>
      <c r="AJ14" s="5" t="n">
        <v>0.25</v>
      </c>
      <c r="AK14" s="5" t="n">
        <v>0.08</v>
      </c>
      <c r="AL14" s="4" t="n">
        <v>22.82</v>
      </c>
      <c r="AM14" s="2" t="s">
        <v>168</v>
      </c>
      <c r="AN14" s="2" t="s">
        <v>129</v>
      </c>
      <c r="AO14" s="2" t="s">
        <v>130</v>
      </c>
      <c r="AP14" s="4" t="n">
        <v>683.66</v>
      </c>
      <c r="AQ14" s="2" t="s">
        <v>437</v>
      </c>
      <c r="AR14" s="2" t="s">
        <v>438</v>
      </c>
      <c r="AS14" s="2" t="s">
        <v>186</v>
      </c>
      <c r="AT14" s="2" t="s">
        <v>106</v>
      </c>
      <c r="AU14" s="2" t="s">
        <v>322</v>
      </c>
      <c r="AV14" s="2" t="s">
        <v>278</v>
      </c>
      <c r="AW14" s="2" t="s">
        <v>439</v>
      </c>
      <c r="AX14" s="3" t="n">
        <v>45967</v>
      </c>
      <c r="AY14" s="2" t="s">
        <v>113</v>
      </c>
      <c r="AZ14" s="2" t="s">
        <v>136</v>
      </c>
      <c r="BA14" s="2" t="s">
        <v>118</v>
      </c>
      <c r="BB14" s="2" t="s">
        <v>113</v>
      </c>
      <c r="BC14" s="2" t="s">
        <v>113</v>
      </c>
      <c r="BD14" s="2" t="s">
        <v>118</v>
      </c>
      <c r="BE14" s="2" t="s">
        <v>113</v>
      </c>
      <c r="BF14" s="2" t="s">
        <v>440</v>
      </c>
      <c r="BG14" s="2" t="s">
        <v>441</v>
      </c>
      <c r="BH14" s="2" t="s">
        <v>442</v>
      </c>
      <c r="BI14" s="4" t="n">
        <v>83.2</v>
      </c>
      <c r="BJ14" s="2" t="n">
        <v>9516</v>
      </c>
      <c r="BK14" s="2" t="n">
        <v>470</v>
      </c>
      <c r="BL14" s="2" t="s">
        <v>113</v>
      </c>
      <c r="BM14" s="2" t="s">
        <v>117</v>
      </c>
      <c r="BN14" s="2" t="s">
        <v>304</v>
      </c>
      <c r="BO14" s="2" t="s">
        <v>178</v>
      </c>
      <c r="BP14" s="2" t="s">
        <v>259</v>
      </c>
      <c r="BQ14" s="2" t="n">
        <v>26.6</v>
      </c>
      <c r="BR14" s="2" t="n">
        <v>28</v>
      </c>
      <c r="BS14" s="2" t="s">
        <v>118</v>
      </c>
      <c r="BT14" s="2" t="n">
        <v>14</v>
      </c>
      <c r="BU14" s="2" t="n">
        <v>25.5</v>
      </c>
      <c r="BV14" s="2" t="n">
        <v>13</v>
      </c>
      <c r="BW14" s="3" t="n">
        <v>46006</v>
      </c>
      <c r="BX14" s="2" t="n">
        <v>5</v>
      </c>
      <c r="BY14" s="2" t="n">
        <v>123</v>
      </c>
      <c r="BZ14" s="2" t="s">
        <v>117</v>
      </c>
      <c r="CA14" s="2" t="n">
        <v>-75</v>
      </c>
      <c r="CB14" s="2" t="n">
        <v>8</v>
      </c>
      <c r="CC14" s="2" t="n">
        <v>1</v>
      </c>
      <c r="CD14" s="2" t="n">
        <v>50.1</v>
      </c>
      <c r="CE14" s="4" t="n">
        <v>13556.19</v>
      </c>
      <c r="CF14" s="5" t="n">
        <v>4.6</v>
      </c>
      <c r="CG14" s="2" t="n">
        <v>357</v>
      </c>
      <c r="CH14" s="2" t="s">
        <v>329</v>
      </c>
      <c r="CI14" s="2" t="s">
        <v>117</v>
      </c>
      <c r="CJ14" s="2" t="n">
        <v>9</v>
      </c>
      <c r="CK14" s="2" t="n">
        <v>38</v>
      </c>
      <c r="CL14" s="4" t="n">
        <v>595.76</v>
      </c>
      <c r="CM14" s="2" t="n">
        <v>151</v>
      </c>
      <c r="CN14" s="2" t="s">
        <v>117</v>
      </c>
      <c r="CO14" s="4" t="n">
        <f aca="false">AH14*AI14</f>
        <v>3418.29</v>
      </c>
      <c r="CP14" s="4" t="n">
        <f aca="false">CO14*AJ14</f>
        <v>854.5725</v>
      </c>
      <c r="CQ14" s="4" t="n">
        <f aca="false">(CO14-CP14)*AK14</f>
        <v>205.0974</v>
      </c>
      <c r="CR14" s="4" t="n">
        <f aca="false">CO14-CP14+CQ14+AL14</f>
        <v>2791.6349</v>
      </c>
      <c r="CS14" s="4" t="n">
        <f aca="false">CR14-(AP14*AH14)-AL14</f>
        <v>717.8349</v>
      </c>
      <c r="CT14" s="5" t="n">
        <f aca="false">IFERROR(CS14/CR14,0)</f>
        <v>0.257137815550307</v>
      </c>
      <c r="CU14" s="6" t="n">
        <f aca="false">IFERROR(BK14/BJ14,0)</f>
        <v>0.0493905002101723</v>
      </c>
      <c r="CV14" s="2" t="str">
        <f aca="false">IF(AY14="N/A","N/A",AY14-AX14)</f>
        <v>N/A</v>
      </c>
    </row>
    <row r="15" customFormat="false" ht="15" hidden="false" customHeight="false" outlineLevel="0" collapsed="false">
      <c r="A15" s="2" t="s">
        <v>443</v>
      </c>
      <c r="B15" s="2" t="s">
        <v>444</v>
      </c>
      <c r="C15" s="2" t="s">
        <v>445</v>
      </c>
      <c r="D15" s="2" t="s">
        <v>446</v>
      </c>
      <c r="E15" s="2" t="s">
        <v>447</v>
      </c>
      <c r="F15" s="2" t="s">
        <v>150</v>
      </c>
      <c r="G15" s="2" t="n">
        <v>18</v>
      </c>
      <c r="H15" s="3" t="n">
        <v>39383</v>
      </c>
      <c r="I15" s="2" t="s">
        <v>265</v>
      </c>
      <c r="J15" s="2" t="s">
        <v>448</v>
      </c>
      <c r="K15" s="2" t="s">
        <v>449</v>
      </c>
      <c r="L15" s="2" t="s">
        <v>450</v>
      </c>
      <c r="M15" s="2" t="s">
        <v>451</v>
      </c>
      <c r="N15" s="3" t="n">
        <v>45135</v>
      </c>
      <c r="O15" s="2" t="s">
        <v>111</v>
      </c>
      <c r="P15" s="2" t="n">
        <v>2344</v>
      </c>
      <c r="Q15" s="2" t="s">
        <v>452</v>
      </c>
      <c r="R15" s="2" t="s">
        <v>113</v>
      </c>
      <c r="S15" s="2" t="s">
        <v>114</v>
      </c>
      <c r="T15" s="2" t="s">
        <v>157</v>
      </c>
      <c r="U15" s="2" t="s">
        <v>158</v>
      </c>
      <c r="V15" s="2" t="s">
        <v>117</v>
      </c>
      <c r="W15" s="2" t="s">
        <v>118</v>
      </c>
      <c r="X15" s="2" t="s">
        <v>453</v>
      </c>
      <c r="Y15" s="3" t="n">
        <v>45527</v>
      </c>
      <c r="Z15" s="2" t="s">
        <v>454</v>
      </c>
      <c r="AA15" s="2" t="s">
        <v>161</v>
      </c>
      <c r="AB15" s="2" t="s">
        <v>342</v>
      </c>
      <c r="AC15" s="2" t="s">
        <v>455</v>
      </c>
      <c r="AD15" s="2" t="s">
        <v>456</v>
      </c>
      <c r="AE15" s="2" t="s">
        <v>125</v>
      </c>
      <c r="AF15" s="2" t="s">
        <v>275</v>
      </c>
      <c r="AG15" s="2" t="s">
        <v>457</v>
      </c>
      <c r="AH15" s="2" t="n">
        <v>5</v>
      </c>
      <c r="AI15" s="4" t="n">
        <v>43.59</v>
      </c>
      <c r="AJ15" s="5" t="n">
        <v>0</v>
      </c>
      <c r="AK15" s="5" t="n">
        <v>0.08</v>
      </c>
      <c r="AL15" s="4" t="n">
        <v>2.26</v>
      </c>
      <c r="AM15" s="2" t="s">
        <v>198</v>
      </c>
      <c r="AN15" s="2" t="s">
        <v>129</v>
      </c>
      <c r="AO15" s="2" t="s">
        <v>222</v>
      </c>
      <c r="AP15" s="4" t="n">
        <v>15.26</v>
      </c>
      <c r="AQ15" s="2" t="s">
        <v>458</v>
      </c>
      <c r="AR15" s="2" t="s">
        <v>459</v>
      </c>
      <c r="AS15" s="2" t="s">
        <v>449</v>
      </c>
      <c r="AT15" s="2" t="s">
        <v>265</v>
      </c>
      <c r="AU15" s="2" t="s">
        <v>322</v>
      </c>
      <c r="AV15" s="2" t="s">
        <v>278</v>
      </c>
      <c r="AW15" s="2" t="s">
        <v>460</v>
      </c>
      <c r="AX15" s="3" t="n">
        <v>45530</v>
      </c>
      <c r="AY15" s="3" t="n">
        <v>45528</v>
      </c>
      <c r="AZ15" s="2" t="s">
        <v>203</v>
      </c>
      <c r="BA15" s="2" t="s">
        <v>118</v>
      </c>
      <c r="BB15" s="2" t="s">
        <v>113</v>
      </c>
      <c r="BC15" s="2" t="s">
        <v>113</v>
      </c>
      <c r="BD15" s="2" t="s">
        <v>118</v>
      </c>
      <c r="BE15" s="2" t="s">
        <v>113</v>
      </c>
      <c r="BF15" s="2" t="s">
        <v>226</v>
      </c>
      <c r="BG15" s="2" t="s">
        <v>461</v>
      </c>
      <c r="BH15" s="2" t="s">
        <v>462</v>
      </c>
      <c r="BI15" s="4" t="n">
        <v>412.1</v>
      </c>
      <c r="BJ15" s="2" t="n">
        <v>19091</v>
      </c>
      <c r="BK15" s="2" t="n">
        <v>1499</v>
      </c>
      <c r="BL15" s="2" t="s">
        <v>113</v>
      </c>
      <c r="BM15" s="2" t="s">
        <v>117</v>
      </c>
      <c r="BN15" s="2" t="s">
        <v>177</v>
      </c>
      <c r="BO15" s="2" t="s">
        <v>142</v>
      </c>
      <c r="BP15" s="2" t="s">
        <v>357</v>
      </c>
      <c r="BQ15" s="2" t="n">
        <v>10.9</v>
      </c>
      <c r="BR15" s="2" t="n">
        <v>2</v>
      </c>
      <c r="BS15" s="2" t="s">
        <v>118</v>
      </c>
      <c r="BT15" s="2" t="n">
        <v>17</v>
      </c>
      <c r="BU15" s="2" t="n">
        <v>10.5</v>
      </c>
      <c r="BV15" s="2" t="n">
        <v>40</v>
      </c>
      <c r="BW15" s="3" t="n">
        <v>45640</v>
      </c>
      <c r="BX15" s="2" t="n">
        <v>5</v>
      </c>
      <c r="BY15" s="2" t="n">
        <v>16</v>
      </c>
      <c r="BZ15" s="2" t="s">
        <v>118</v>
      </c>
      <c r="CA15" s="2" t="n">
        <v>-56</v>
      </c>
      <c r="CB15" s="2" t="n">
        <v>4</v>
      </c>
      <c r="CC15" s="2" t="n">
        <v>1</v>
      </c>
      <c r="CD15" s="2" t="n">
        <v>56.7</v>
      </c>
      <c r="CE15" s="4" t="n">
        <v>13153.09</v>
      </c>
      <c r="CF15" s="5" t="n">
        <v>36.6</v>
      </c>
      <c r="CG15" s="2" t="n">
        <v>813</v>
      </c>
      <c r="CH15" s="2" t="s">
        <v>329</v>
      </c>
      <c r="CI15" s="2" t="s">
        <v>118</v>
      </c>
      <c r="CJ15" s="2" t="n">
        <v>4</v>
      </c>
      <c r="CK15" s="2" t="n">
        <v>53</v>
      </c>
      <c r="CL15" s="4" t="n">
        <v>87.67</v>
      </c>
      <c r="CM15" s="2" t="n">
        <v>23</v>
      </c>
      <c r="CN15" s="2" t="s">
        <v>118</v>
      </c>
      <c r="CO15" s="4" t="n">
        <f aca="false">AH15*AI15</f>
        <v>217.95</v>
      </c>
      <c r="CP15" s="4" t="n">
        <f aca="false">CO15*AJ15</f>
        <v>0</v>
      </c>
      <c r="CQ15" s="4" t="n">
        <f aca="false">(CO15-CP15)*AK15</f>
        <v>17.436</v>
      </c>
      <c r="CR15" s="4" t="n">
        <f aca="false">CO15-CP15+CQ15+AL15</f>
        <v>237.646</v>
      </c>
      <c r="CS15" s="4" t="n">
        <f aca="false">CR15-(AP15*AH15)-AL15</f>
        <v>159.086</v>
      </c>
      <c r="CT15" s="5" t="n">
        <f aca="false">IFERROR(CS15/CR15,0)</f>
        <v>0.669424269712093</v>
      </c>
      <c r="CU15" s="6" t="n">
        <f aca="false">IFERROR(BK15/BJ15,0)</f>
        <v>0.0785186737206013</v>
      </c>
      <c r="CV15" s="2" t="n">
        <f aca="false">IF(AY15="N/A","N/A",AY15-AX15)</f>
        <v>-2</v>
      </c>
    </row>
    <row r="16" customFormat="false" ht="15" hidden="false" customHeight="false" outlineLevel="0" collapsed="false">
      <c r="A16" s="2" t="s">
        <v>463</v>
      </c>
      <c r="B16" s="2" t="s">
        <v>464</v>
      </c>
      <c r="C16" s="2" t="s">
        <v>465</v>
      </c>
      <c r="D16" s="2" t="s">
        <v>466</v>
      </c>
      <c r="E16" s="2" t="s">
        <v>467</v>
      </c>
      <c r="F16" s="2" t="s">
        <v>105</v>
      </c>
      <c r="G16" s="2" t="n">
        <v>24</v>
      </c>
      <c r="H16" s="3" t="n">
        <v>36999</v>
      </c>
      <c r="I16" s="2" t="s">
        <v>265</v>
      </c>
      <c r="J16" s="2" t="s">
        <v>386</v>
      </c>
      <c r="K16" s="2" t="s">
        <v>387</v>
      </c>
      <c r="L16" s="2" t="s">
        <v>388</v>
      </c>
      <c r="M16" s="2" t="s">
        <v>468</v>
      </c>
      <c r="N16" s="3" t="n">
        <v>44692</v>
      </c>
      <c r="O16" s="2" t="s">
        <v>311</v>
      </c>
      <c r="P16" s="2" t="n">
        <v>4425</v>
      </c>
      <c r="Q16" s="2" t="s">
        <v>469</v>
      </c>
      <c r="R16" s="2" t="s">
        <v>470</v>
      </c>
      <c r="S16" s="2" t="s">
        <v>114</v>
      </c>
      <c r="T16" s="2" t="s">
        <v>365</v>
      </c>
      <c r="U16" s="2" t="s">
        <v>158</v>
      </c>
      <c r="V16" s="2" t="s">
        <v>117</v>
      </c>
      <c r="W16" s="2" t="s">
        <v>117</v>
      </c>
      <c r="X16" s="2" t="s">
        <v>471</v>
      </c>
      <c r="Y16" s="3" t="n">
        <v>45721</v>
      </c>
      <c r="Z16" s="2" t="s">
        <v>472</v>
      </c>
      <c r="AA16" s="2" t="s">
        <v>161</v>
      </c>
      <c r="AB16" s="2" t="s">
        <v>218</v>
      </c>
      <c r="AC16" s="2" t="s">
        <v>473</v>
      </c>
      <c r="AD16" s="2" t="s">
        <v>124</v>
      </c>
      <c r="AE16" s="2" t="s">
        <v>125</v>
      </c>
      <c r="AF16" s="2" t="s">
        <v>196</v>
      </c>
      <c r="AG16" s="2" t="s">
        <v>474</v>
      </c>
      <c r="AH16" s="2" t="n">
        <v>4</v>
      </c>
      <c r="AI16" s="4" t="n">
        <v>95.42</v>
      </c>
      <c r="AJ16" s="5" t="n">
        <v>0.1</v>
      </c>
      <c r="AK16" s="5" t="n">
        <v>0.08</v>
      </c>
      <c r="AL16" s="4" t="n">
        <v>8.21</v>
      </c>
      <c r="AM16" s="2" t="s">
        <v>168</v>
      </c>
      <c r="AN16" s="2" t="s">
        <v>475</v>
      </c>
      <c r="AO16" s="2" t="s">
        <v>222</v>
      </c>
      <c r="AP16" s="4" t="n">
        <v>33.4</v>
      </c>
      <c r="AQ16" s="2" t="s">
        <v>476</v>
      </c>
      <c r="AR16" s="2" t="s">
        <v>477</v>
      </c>
      <c r="AS16" s="2" t="s">
        <v>387</v>
      </c>
      <c r="AT16" s="2" t="s">
        <v>265</v>
      </c>
      <c r="AU16" s="2" t="s">
        <v>251</v>
      </c>
      <c r="AV16" s="2" t="s">
        <v>134</v>
      </c>
      <c r="AW16" s="2" t="s">
        <v>478</v>
      </c>
      <c r="AX16" s="3" t="n">
        <v>45723</v>
      </c>
      <c r="AY16" s="3" t="n">
        <v>45726</v>
      </c>
      <c r="AZ16" s="2" t="s">
        <v>203</v>
      </c>
      <c r="BA16" s="2" t="s">
        <v>118</v>
      </c>
      <c r="BB16" s="2" t="s">
        <v>113</v>
      </c>
      <c r="BC16" s="2" t="s">
        <v>113</v>
      </c>
      <c r="BD16" s="2" t="s">
        <v>118</v>
      </c>
      <c r="BE16" s="2" t="s">
        <v>113</v>
      </c>
      <c r="BF16" s="2" t="s">
        <v>440</v>
      </c>
      <c r="BG16" s="2" t="s">
        <v>479</v>
      </c>
      <c r="BH16" s="2" t="s">
        <v>480</v>
      </c>
      <c r="BI16" s="4" t="n">
        <v>332.22</v>
      </c>
      <c r="BJ16" s="2" t="n">
        <v>7836</v>
      </c>
      <c r="BK16" s="2" t="n">
        <v>747</v>
      </c>
      <c r="BL16" s="2" t="s">
        <v>481</v>
      </c>
      <c r="BM16" s="2" t="s">
        <v>118</v>
      </c>
      <c r="BN16" s="2" t="s">
        <v>141</v>
      </c>
      <c r="BO16" s="2" t="s">
        <v>142</v>
      </c>
      <c r="BP16" s="2" t="s">
        <v>259</v>
      </c>
      <c r="BQ16" s="2" t="n">
        <v>35.6</v>
      </c>
      <c r="BR16" s="2" t="n">
        <v>38</v>
      </c>
      <c r="BS16" s="2" t="s">
        <v>118</v>
      </c>
      <c r="BT16" s="2" t="n">
        <v>5</v>
      </c>
      <c r="BU16" s="2" t="n">
        <v>8.7</v>
      </c>
      <c r="BV16" s="2" t="n">
        <v>9</v>
      </c>
      <c r="BW16" s="3" t="n">
        <v>45936</v>
      </c>
      <c r="BX16" s="2" t="n">
        <v>5</v>
      </c>
      <c r="BY16" s="2" t="n">
        <v>134</v>
      </c>
      <c r="BZ16" s="2" t="s">
        <v>117</v>
      </c>
      <c r="CA16" s="2" t="n">
        <v>65</v>
      </c>
      <c r="CB16" s="2" t="n">
        <v>6</v>
      </c>
      <c r="CC16" s="2" t="n">
        <v>0</v>
      </c>
      <c r="CD16" s="2" t="n">
        <v>0</v>
      </c>
      <c r="CE16" s="4" t="n">
        <v>6002.19</v>
      </c>
      <c r="CF16" s="5" t="n">
        <v>19</v>
      </c>
      <c r="CG16" s="2" t="n">
        <v>425</v>
      </c>
      <c r="CH16" s="2" t="s">
        <v>283</v>
      </c>
      <c r="CI16" s="2" t="s">
        <v>117</v>
      </c>
      <c r="CJ16" s="2" t="n">
        <v>5</v>
      </c>
      <c r="CK16" s="2" t="n">
        <v>66</v>
      </c>
      <c r="CL16" s="4" t="n">
        <v>364.33</v>
      </c>
      <c r="CM16" s="2" t="n">
        <v>231</v>
      </c>
      <c r="CN16" s="2" t="s">
        <v>118</v>
      </c>
      <c r="CO16" s="4" t="n">
        <f aca="false">AH16*AI16</f>
        <v>381.68</v>
      </c>
      <c r="CP16" s="4" t="n">
        <f aca="false">CO16*AJ16</f>
        <v>38.168</v>
      </c>
      <c r="CQ16" s="4" t="n">
        <f aca="false">(CO16-CP16)*AK16</f>
        <v>27.48096</v>
      </c>
      <c r="CR16" s="4" t="n">
        <f aca="false">CO16-CP16+CQ16+AL16</f>
        <v>379.20296</v>
      </c>
      <c r="CS16" s="4" t="n">
        <f aca="false">CR16-(AP16*AH16)-AL16</f>
        <v>237.39296</v>
      </c>
      <c r="CT16" s="5" t="n">
        <f aca="false">IFERROR(CS16/CR16,0)</f>
        <v>0.626031400176834</v>
      </c>
      <c r="CU16" s="6" t="n">
        <f aca="false">IFERROR(BK16/BJ16,0)</f>
        <v>0.0953292496171516</v>
      </c>
      <c r="CV16" s="2" t="n">
        <f aca="false">IF(AY16="N/A","N/A",AY16-AX16)</f>
        <v>3</v>
      </c>
    </row>
    <row r="17" customFormat="false" ht="15" hidden="false" customHeight="false" outlineLevel="0" collapsed="false">
      <c r="A17" s="2" t="s">
        <v>482</v>
      </c>
      <c r="B17" s="2" t="s">
        <v>483</v>
      </c>
      <c r="C17" s="2" t="s">
        <v>484</v>
      </c>
      <c r="D17" s="2" t="s">
        <v>485</v>
      </c>
      <c r="E17" s="2" t="s">
        <v>486</v>
      </c>
      <c r="F17" s="2" t="s">
        <v>184</v>
      </c>
      <c r="G17" s="2" t="n">
        <v>68</v>
      </c>
      <c r="H17" s="3" t="n">
        <v>21141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3" t="n">
        <v>44977</v>
      </c>
      <c r="O17" s="2" t="s">
        <v>311</v>
      </c>
      <c r="P17" s="2" t="n">
        <v>255</v>
      </c>
      <c r="Q17" s="2" t="s">
        <v>492</v>
      </c>
      <c r="R17" s="2" t="s">
        <v>113</v>
      </c>
      <c r="S17" s="2" t="s">
        <v>114</v>
      </c>
      <c r="T17" s="2" t="s">
        <v>157</v>
      </c>
      <c r="U17" s="2" t="s">
        <v>116</v>
      </c>
      <c r="V17" s="2" t="s">
        <v>117</v>
      </c>
      <c r="W17" s="2" t="s">
        <v>117</v>
      </c>
      <c r="X17" s="2" t="s">
        <v>493</v>
      </c>
      <c r="Y17" s="3" t="n">
        <v>45354</v>
      </c>
      <c r="Z17" s="2" t="s">
        <v>494</v>
      </c>
      <c r="AA17" s="2" t="s">
        <v>161</v>
      </c>
      <c r="AB17" s="2" t="s">
        <v>342</v>
      </c>
      <c r="AC17" s="2" t="s">
        <v>495</v>
      </c>
      <c r="AD17" s="2" t="s">
        <v>294</v>
      </c>
      <c r="AE17" s="2" t="s">
        <v>295</v>
      </c>
      <c r="AF17" s="2" t="s">
        <v>496</v>
      </c>
      <c r="AG17" s="2" t="s">
        <v>497</v>
      </c>
      <c r="AH17" s="2" t="n">
        <v>4</v>
      </c>
      <c r="AI17" s="4" t="n">
        <v>65.55</v>
      </c>
      <c r="AJ17" s="5" t="n">
        <v>0.25</v>
      </c>
      <c r="AK17" s="5" t="n">
        <v>0.08</v>
      </c>
      <c r="AL17" s="4" t="n">
        <v>2.28</v>
      </c>
      <c r="AM17" s="2" t="s">
        <v>221</v>
      </c>
      <c r="AN17" s="2" t="s">
        <v>129</v>
      </c>
      <c r="AO17" s="2" t="s">
        <v>169</v>
      </c>
      <c r="AP17" s="4" t="n">
        <v>26.22</v>
      </c>
      <c r="AQ17" s="2" t="s">
        <v>498</v>
      </c>
      <c r="AR17" s="2" t="s">
        <v>499</v>
      </c>
      <c r="AS17" s="2" t="s">
        <v>489</v>
      </c>
      <c r="AT17" s="2" t="s">
        <v>487</v>
      </c>
      <c r="AU17" s="2" t="s">
        <v>251</v>
      </c>
      <c r="AV17" s="2" t="s">
        <v>173</v>
      </c>
      <c r="AW17" s="2" t="s">
        <v>500</v>
      </c>
      <c r="AX17" s="3" t="n">
        <v>45357</v>
      </c>
      <c r="AY17" s="3" t="n">
        <v>45356</v>
      </c>
      <c r="AZ17" s="2" t="s">
        <v>203</v>
      </c>
      <c r="BA17" s="2" t="s">
        <v>118</v>
      </c>
      <c r="BB17" s="2" t="s">
        <v>113</v>
      </c>
      <c r="BC17" s="2" t="s">
        <v>113</v>
      </c>
      <c r="BD17" s="2" t="s">
        <v>118</v>
      </c>
      <c r="BE17" s="2" t="s">
        <v>113</v>
      </c>
      <c r="BF17" s="2" t="s">
        <v>353</v>
      </c>
      <c r="BG17" s="2" t="s">
        <v>501</v>
      </c>
      <c r="BH17" s="2" t="s">
        <v>502</v>
      </c>
      <c r="BI17" s="4" t="n">
        <v>180.03</v>
      </c>
      <c r="BJ17" s="2" t="n">
        <v>4235</v>
      </c>
      <c r="BK17" s="2" t="n">
        <v>286</v>
      </c>
      <c r="BL17" s="2" t="s">
        <v>113</v>
      </c>
      <c r="BM17" s="2" t="s">
        <v>118</v>
      </c>
      <c r="BN17" s="2" t="s">
        <v>304</v>
      </c>
      <c r="BO17" s="2" t="s">
        <v>229</v>
      </c>
      <c r="BP17" s="2" t="s">
        <v>259</v>
      </c>
      <c r="BQ17" s="2" t="n">
        <v>39.1</v>
      </c>
      <c r="BR17" s="2" t="n">
        <v>4</v>
      </c>
      <c r="BS17" s="2" t="s">
        <v>118</v>
      </c>
      <c r="BT17" s="2" t="n">
        <v>19</v>
      </c>
      <c r="BU17" s="2" t="n">
        <v>10.1</v>
      </c>
      <c r="BV17" s="2" t="n">
        <v>7</v>
      </c>
      <c r="BW17" s="3" t="n">
        <v>45945</v>
      </c>
      <c r="BX17" s="2" t="n">
        <v>4</v>
      </c>
      <c r="BY17" s="2" t="n">
        <v>129</v>
      </c>
      <c r="BZ17" s="2" t="s">
        <v>117</v>
      </c>
      <c r="CA17" s="2" t="n">
        <v>29</v>
      </c>
      <c r="CB17" s="2" t="n">
        <v>10</v>
      </c>
      <c r="CC17" s="2" t="n">
        <v>3</v>
      </c>
      <c r="CD17" s="2" t="n">
        <v>7.6</v>
      </c>
      <c r="CE17" s="4" t="n">
        <v>10541.6</v>
      </c>
      <c r="CF17" s="5" t="n">
        <v>85.3</v>
      </c>
      <c r="CG17" s="2" t="n">
        <v>520</v>
      </c>
      <c r="CH17" s="2" t="s">
        <v>144</v>
      </c>
      <c r="CI17" s="2" t="s">
        <v>117</v>
      </c>
      <c r="CJ17" s="2" t="n">
        <v>1</v>
      </c>
      <c r="CK17" s="2" t="n">
        <v>45</v>
      </c>
      <c r="CL17" s="4" t="n">
        <v>510.32</v>
      </c>
      <c r="CM17" s="2" t="n">
        <v>188</v>
      </c>
      <c r="CN17" s="2" t="s">
        <v>117</v>
      </c>
      <c r="CO17" s="4" t="n">
        <f aca="false">AH17*AI17</f>
        <v>262.2</v>
      </c>
      <c r="CP17" s="4" t="n">
        <f aca="false">CO17*AJ17</f>
        <v>65.55</v>
      </c>
      <c r="CQ17" s="4" t="n">
        <f aca="false">(CO17-CP17)*AK17</f>
        <v>15.732</v>
      </c>
      <c r="CR17" s="4" t="n">
        <f aca="false">CO17-CP17+CQ17+AL17</f>
        <v>214.662</v>
      </c>
      <c r="CS17" s="4" t="n">
        <f aca="false">CR17-(AP17*AH17)-AL17</f>
        <v>107.502</v>
      </c>
      <c r="CT17" s="5" t="n">
        <f aca="false">IFERROR(CS17/CR17,0)</f>
        <v>0.500796601168348</v>
      </c>
      <c r="CU17" s="6" t="n">
        <f aca="false">IFERROR(BK17/BJ17,0)</f>
        <v>0.0675324675324675</v>
      </c>
      <c r="CV17" s="2" t="n">
        <f aca="false">IF(AY17="N/A","N/A",AY17-AX17)</f>
        <v>-1</v>
      </c>
    </row>
    <row r="18" customFormat="false" ht="15" hidden="false" customHeight="false" outlineLevel="0" collapsed="false">
      <c r="A18" s="2" t="s">
        <v>503</v>
      </c>
      <c r="B18" s="2" t="s">
        <v>504</v>
      </c>
      <c r="C18" s="2" t="s">
        <v>505</v>
      </c>
      <c r="D18" s="2" t="s">
        <v>506</v>
      </c>
      <c r="E18" s="2" t="s">
        <v>507</v>
      </c>
      <c r="F18" s="2" t="s">
        <v>105</v>
      </c>
      <c r="G18" s="2" t="n">
        <v>69</v>
      </c>
      <c r="H18" s="3" t="n">
        <v>20664</v>
      </c>
      <c r="I18" s="2" t="s">
        <v>335</v>
      </c>
      <c r="J18" s="2" t="s">
        <v>508</v>
      </c>
      <c r="K18" s="2" t="s">
        <v>508</v>
      </c>
      <c r="L18" s="2" t="s">
        <v>509</v>
      </c>
      <c r="M18" s="2" t="s">
        <v>510</v>
      </c>
      <c r="N18" s="3" t="n">
        <v>45381</v>
      </c>
      <c r="O18" s="2" t="s">
        <v>155</v>
      </c>
      <c r="P18" s="2" t="n">
        <v>2190</v>
      </c>
      <c r="Q18" s="2" t="s">
        <v>511</v>
      </c>
      <c r="R18" s="2" t="s">
        <v>113</v>
      </c>
      <c r="S18" s="2" t="s">
        <v>114</v>
      </c>
      <c r="T18" s="2" t="s">
        <v>191</v>
      </c>
      <c r="U18" s="2" t="s">
        <v>116</v>
      </c>
      <c r="V18" s="2" t="s">
        <v>117</v>
      </c>
      <c r="W18" s="2" t="s">
        <v>117</v>
      </c>
      <c r="X18" s="2" t="s">
        <v>512</v>
      </c>
      <c r="Y18" s="3" t="n">
        <v>45321</v>
      </c>
      <c r="Z18" s="2" t="s">
        <v>513</v>
      </c>
      <c r="AA18" s="2" t="s">
        <v>161</v>
      </c>
      <c r="AB18" s="2" t="s">
        <v>342</v>
      </c>
      <c r="AC18" s="2" t="s">
        <v>514</v>
      </c>
      <c r="AD18" s="2" t="s">
        <v>515</v>
      </c>
      <c r="AE18" s="2" t="s">
        <v>395</v>
      </c>
      <c r="AF18" s="2" t="s">
        <v>396</v>
      </c>
      <c r="AG18" s="2" t="s">
        <v>167</v>
      </c>
      <c r="AH18" s="2" t="n">
        <v>3</v>
      </c>
      <c r="AI18" s="4" t="n">
        <v>11.28</v>
      </c>
      <c r="AJ18" s="5" t="n">
        <v>0</v>
      </c>
      <c r="AK18" s="5" t="n">
        <v>0.08</v>
      </c>
      <c r="AL18" s="4" t="n">
        <v>7.08</v>
      </c>
      <c r="AM18" s="2" t="s">
        <v>128</v>
      </c>
      <c r="AN18" s="2" t="s">
        <v>129</v>
      </c>
      <c r="AO18" s="2" t="s">
        <v>222</v>
      </c>
      <c r="AP18" s="4" t="n">
        <v>5.08</v>
      </c>
      <c r="AQ18" s="2" t="s">
        <v>516</v>
      </c>
      <c r="AR18" s="2" t="s">
        <v>517</v>
      </c>
      <c r="AS18" s="2" t="s">
        <v>508</v>
      </c>
      <c r="AT18" s="2" t="s">
        <v>335</v>
      </c>
      <c r="AU18" s="2" t="s">
        <v>133</v>
      </c>
      <c r="AV18" s="2" t="s">
        <v>134</v>
      </c>
      <c r="AW18" s="2" t="s">
        <v>518</v>
      </c>
      <c r="AX18" s="3" t="n">
        <v>45329</v>
      </c>
      <c r="AY18" s="3" t="n">
        <v>45328</v>
      </c>
      <c r="AZ18" s="2" t="s">
        <v>301</v>
      </c>
      <c r="BA18" s="2" t="s">
        <v>118</v>
      </c>
      <c r="BB18" s="2" t="s">
        <v>113</v>
      </c>
      <c r="BC18" s="2" t="s">
        <v>113</v>
      </c>
      <c r="BD18" s="2" t="s">
        <v>118</v>
      </c>
      <c r="BE18" s="2" t="s">
        <v>113</v>
      </c>
      <c r="BF18" s="2" t="s">
        <v>204</v>
      </c>
      <c r="BG18" s="2" t="s">
        <v>205</v>
      </c>
      <c r="BH18" s="2" t="s">
        <v>519</v>
      </c>
      <c r="BI18" s="4" t="n">
        <v>154.2</v>
      </c>
      <c r="BJ18" s="2" t="n">
        <v>1104</v>
      </c>
      <c r="BK18" s="2" t="n">
        <v>28</v>
      </c>
      <c r="BL18" s="2" t="s">
        <v>520</v>
      </c>
      <c r="BM18" s="2" t="s">
        <v>118</v>
      </c>
      <c r="BN18" s="2" t="s">
        <v>304</v>
      </c>
      <c r="BO18" s="2" t="s">
        <v>258</v>
      </c>
      <c r="BP18" s="2" t="s">
        <v>328</v>
      </c>
      <c r="BQ18" s="2" t="n">
        <v>13.4</v>
      </c>
      <c r="BR18" s="2" t="n">
        <v>8</v>
      </c>
      <c r="BS18" s="2" t="s">
        <v>117</v>
      </c>
      <c r="BT18" s="2" t="n">
        <v>13</v>
      </c>
      <c r="BU18" s="2" t="n">
        <v>6.1</v>
      </c>
      <c r="BV18" s="2" t="n">
        <v>25</v>
      </c>
      <c r="BW18" s="3" t="n">
        <v>45866</v>
      </c>
      <c r="BX18" s="2" t="n">
        <v>4</v>
      </c>
      <c r="BY18" s="2" t="n">
        <v>58</v>
      </c>
      <c r="BZ18" s="2" t="s">
        <v>118</v>
      </c>
      <c r="CA18" s="2" t="n">
        <v>-6</v>
      </c>
      <c r="CB18" s="2" t="n">
        <v>5</v>
      </c>
      <c r="CC18" s="2" t="n">
        <v>5</v>
      </c>
      <c r="CD18" s="2" t="n">
        <v>23.7</v>
      </c>
      <c r="CE18" s="4" t="n">
        <v>14124.04</v>
      </c>
      <c r="CF18" s="5" t="n">
        <v>59.6</v>
      </c>
      <c r="CG18" s="2" t="n">
        <v>353</v>
      </c>
      <c r="CH18" s="2" t="s">
        <v>144</v>
      </c>
      <c r="CI18" s="2" t="s">
        <v>118</v>
      </c>
      <c r="CJ18" s="2" t="n">
        <v>1</v>
      </c>
      <c r="CK18" s="2" t="n">
        <v>51</v>
      </c>
      <c r="CL18" s="4" t="n">
        <v>519.82</v>
      </c>
      <c r="CM18" s="2" t="n">
        <v>21</v>
      </c>
      <c r="CN18" s="2" t="s">
        <v>118</v>
      </c>
      <c r="CO18" s="4" t="n">
        <f aca="false">AH18*AI18</f>
        <v>33.84</v>
      </c>
      <c r="CP18" s="4" t="n">
        <f aca="false">CO18*AJ18</f>
        <v>0</v>
      </c>
      <c r="CQ18" s="4" t="n">
        <f aca="false">(CO18-CP18)*AK18</f>
        <v>2.7072</v>
      </c>
      <c r="CR18" s="4" t="n">
        <f aca="false">CO18-CP18+CQ18+AL18</f>
        <v>43.6272</v>
      </c>
      <c r="CS18" s="4" t="n">
        <f aca="false">CR18-(AP18*AH18)-AL18</f>
        <v>21.3072</v>
      </c>
      <c r="CT18" s="5" t="n">
        <f aca="false">IFERROR(CS18/CR18,0)</f>
        <v>0.488392562438112</v>
      </c>
      <c r="CU18" s="6" t="n">
        <f aca="false">IFERROR(BK18/BJ18,0)</f>
        <v>0.0253623188405797</v>
      </c>
      <c r="CV18" s="2" t="n">
        <f aca="false">IF(AY18="N/A","N/A",AY18-AX18)</f>
        <v>-1</v>
      </c>
    </row>
    <row r="19" customFormat="false" ht="15" hidden="false" customHeight="false" outlineLevel="0" collapsed="false">
      <c r="A19" s="2" t="s">
        <v>521</v>
      </c>
      <c r="B19" s="2" t="s">
        <v>522</v>
      </c>
      <c r="C19" s="2" t="s">
        <v>523</v>
      </c>
      <c r="D19" s="2" t="s">
        <v>524</v>
      </c>
      <c r="E19" s="2" t="s">
        <v>525</v>
      </c>
      <c r="F19" s="2" t="s">
        <v>150</v>
      </c>
      <c r="G19" s="2" t="n">
        <v>54</v>
      </c>
      <c r="H19" s="3" t="n">
        <v>26133</v>
      </c>
      <c r="I19" s="2" t="s">
        <v>526</v>
      </c>
      <c r="J19" s="2" t="s">
        <v>527</v>
      </c>
      <c r="K19" s="2" t="s">
        <v>527</v>
      </c>
      <c r="L19" s="2" t="s">
        <v>528</v>
      </c>
      <c r="M19" s="2" t="s">
        <v>529</v>
      </c>
      <c r="N19" s="3" t="n">
        <v>44811</v>
      </c>
      <c r="O19" s="2" t="s">
        <v>155</v>
      </c>
      <c r="P19" s="2" t="n">
        <v>3318</v>
      </c>
      <c r="Q19" s="2" t="s">
        <v>530</v>
      </c>
      <c r="R19" s="2" t="s">
        <v>531</v>
      </c>
      <c r="S19" s="2" t="s">
        <v>114</v>
      </c>
      <c r="T19" s="2" t="s">
        <v>115</v>
      </c>
      <c r="U19" s="2" t="s">
        <v>169</v>
      </c>
      <c r="V19" s="2" t="s">
        <v>117</v>
      </c>
      <c r="W19" s="2" t="s">
        <v>118</v>
      </c>
      <c r="X19" s="2" t="s">
        <v>532</v>
      </c>
      <c r="Y19" s="3" t="n">
        <v>45313</v>
      </c>
      <c r="Z19" s="2" t="s">
        <v>533</v>
      </c>
      <c r="AA19" s="2" t="s">
        <v>414</v>
      </c>
      <c r="AB19" s="2" t="s">
        <v>342</v>
      </c>
      <c r="AC19" s="2" t="s">
        <v>534</v>
      </c>
      <c r="AD19" s="2" t="s">
        <v>316</v>
      </c>
      <c r="AE19" s="2" t="s">
        <v>317</v>
      </c>
      <c r="AF19" s="2" t="s">
        <v>371</v>
      </c>
      <c r="AG19" s="2" t="s">
        <v>535</v>
      </c>
      <c r="AH19" s="2" t="n">
        <v>3</v>
      </c>
      <c r="AI19" s="4" t="n">
        <v>70.96</v>
      </c>
      <c r="AJ19" s="5" t="n">
        <v>0</v>
      </c>
      <c r="AK19" s="5" t="n">
        <v>0.08</v>
      </c>
      <c r="AL19" s="4" t="n">
        <v>21.61</v>
      </c>
      <c r="AM19" s="2" t="s">
        <v>128</v>
      </c>
      <c r="AN19" s="2" t="s">
        <v>129</v>
      </c>
      <c r="AO19" s="2" t="s">
        <v>116</v>
      </c>
      <c r="AP19" s="4" t="n">
        <v>35.48</v>
      </c>
      <c r="AQ19" s="2" t="s">
        <v>536</v>
      </c>
      <c r="AR19" s="2" t="s">
        <v>537</v>
      </c>
      <c r="AS19" s="2" t="s">
        <v>527</v>
      </c>
      <c r="AT19" s="2" t="s">
        <v>526</v>
      </c>
      <c r="AU19" s="2" t="s">
        <v>350</v>
      </c>
      <c r="AV19" s="2" t="s">
        <v>278</v>
      </c>
      <c r="AW19" s="2" t="s">
        <v>538</v>
      </c>
      <c r="AX19" s="3" t="n">
        <v>45318</v>
      </c>
      <c r="AY19" s="2" t="s">
        <v>113</v>
      </c>
      <c r="AZ19" s="2" t="s">
        <v>203</v>
      </c>
      <c r="BA19" s="2" t="s">
        <v>118</v>
      </c>
      <c r="BB19" s="2" t="s">
        <v>113</v>
      </c>
      <c r="BC19" s="2" t="s">
        <v>113</v>
      </c>
      <c r="BD19" s="2" t="s">
        <v>118</v>
      </c>
      <c r="BE19" s="2" t="s">
        <v>113</v>
      </c>
      <c r="BF19" s="2" t="s">
        <v>255</v>
      </c>
      <c r="BG19" s="2" t="s">
        <v>423</v>
      </c>
      <c r="BH19" s="2" t="s">
        <v>539</v>
      </c>
      <c r="BI19" s="4" t="n">
        <v>179.21</v>
      </c>
      <c r="BJ19" s="2" t="n">
        <v>13068</v>
      </c>
      <c r="BK19" s="2" t="n">
        <v>1787</v>
      </c>
      <c r="BL19" s="2" t="s">
        <v>540</v>
      </c>
      <c r="BM19" s="2" t="s">
        <v>118</v>
      </c>
      <c r="BN19" s="2" t="s">
        <v>141</v>
      </c>
      <c r="BO19" s="2" t="s">
        <v>142</v>
      </c>
      <c r="BP19" s="2" t="s">
        <v>328</v>
      </c>
      <c r="BQ19" s="2" t="n">
        <v>3</v>
      </c>
      <c r="BR19" s="2" t="n">
        <v>19</v>
      </c>
      <c r="BS19" s="2" t="s">
        <v>117</v>
      </c>
      <c r="BT19" s="2" t="n">
        <v>2</v>
      </c>
      <c r="BU19" s="2" t="n">
        <v>18.8</v>
      </c>
      <c r="BV19" s="2" t="n">
        <v>33</v>
      </c>
      <c r="BW19" s="3" t="n">
        <v>45706</v>
      </c>
      <c r="BX19" s="2" t="n">
        <v>4</v>
      </c>
      <c r="BY19" s="2" t="n">
        <v>118</v>
      </c>
      <c r="BZ19" s="2" t="s">
        <v>118</v>
      </c>
      <c r="CA19" s="2" t="n">
        <v>-57</v>
      </c>
      <c r="CB19" s="2" t="n">
        <v>2</v>
      </c>
      <c r="CC19" s="2" t="n">
        <v>4</v>
      </c>
      <c r="CD19" s="2" t="n">
        <v>45.8</v>
      </c>
      <c r="CE19" s="4" t="n">
        <v>7982.54</v>
      </c>
      <c r="CF19" s="5" t="n">
        <v>19.4</v>
      </c>
      <c r="CG19" s="2" t="n">
        <v>657</v>
      </c>
      <c r="CH19" s="2" t="s">
        <v>144</v>
      </c>
      <c r="CI19" s="2" t="s">
        <v>118</v>
      </c>
      <c r="CJ19" s="2" t="n">
        <v>7</v>
      </c>
      <c r="CK19" s="2" t="n">
        <v>74</v>
      </c>
      <c r="CL19" s="4" t="n">
        <v>398.07</v>
      </c>
      <c r="CM19" s="2" t="n">
        <v>164</v>
      </c>
      <c r="CN19" s="2" t="s">
        <v>118</v>
      </c>
      <c r="CO19" s="4" t="n">
        <f aca="false">AH19*AI19</f>
        <v>212.88</v>
      </c>
      <c r="CP19" s="4" t="n">
        <f aca="false">CO19*AJ19</f>
        <v>0</v>
      </c>
      <c r="CQ19" s="4" t="n">
        <f aca="false">(CO19-CP19)*AK19</f>
        <v>17.0304</v>
      </c>
      <c r="CR19" s="4" t="n">
        <f aca="false">CO19-CP19+CQ19+AL19</f>
        <v>251.5204</v>
      </c>
      <c r="CS19" s="4" t="n">
        <f aca="false">CR19-(AP19*AH19)-AL19</f>
        <v>123.4704</v>
      </c>
      <c r="CT19" s="5" t="n">
        <f aca="false">IFERROR(CS19/CR19,0)</f>
        <v>0.490896165877599</v>
      </c>
      <c r="CU19" s="6" t="n">
        <f aca="false">IFERROR(BK19/BJ19,0)</f>
        <v>0.136746250382614</v>
      </c>
      <c r="CV19" s="2" t="str">
        <f aca="false">IF(AY19="N/A","N/A",AY19-AX19)</f>
        <v>N/A</v>
      </c>
    </row>
    <row r="20" customFormat="false" ht="15" hidden="false" customHeight="false" outlineLevel="0" collapsed="false">
      <c r="A20" s="2" t="s">
        <v>541</v>
      </c>
      <c r="B20" s="2" t="s">
        <v>542</v>
      </c>
      <c r="C20" s="2" t="s">
        <v>543</v>
      </c>
      <c r="D20" s="2" t="s">
        <v>544</v>
      </c>
      <c r="E20" s="2" t="s">
        <v>545</v>
      </c>
      <c r="F20" s="2" t="s">
        <v>105</v>
      </c>
      <c r="G20" s="2" t="n">
        <v>46</v>
      </c>
      <c r="H20" s="3" t="n">
        <v>28912</v>
      </c>
      <c r="I20" s="2" t="s">
        <v>487</v>
      </c>
      <c r="J20" s="2" t="s">
        <v>546</v>
      </c>
      <c r="K20" s="2" t="s">
        <v>547</v>
      </c>
      <c r="L20" s="2" t="s">
        <v>548</v>
      </c>
      <c r="M20" s="2" t="s">
        <v>549</v>
      </c>
      <c r="N20" s="3" t="n">
        <v>43446</v>
      </c>
      <c r="O20" s="2" t="s">
        <v>311</v>
      </c>
      <c r="P20" s="2" t="n">
        <v>1413</v>
      </c>
      <c r="Q20" s="2" t="s">
        <v>550</v>
      </c>
      <c r="R20" s="2" t="s">
        <v>113</v>
      </c>
      <c r="S20" s="2" t="s">
        <v>114</v>
      </c>
      <c r="T20" s="2" t="s">
        <v>551</v>
      </c>
      <c r="U20" s="2" t="s">
        <v>271</v>
      </c>
      <c r="V20" s="2" t="s">
        <v>117</v>
      </c>
      <c r="W20" s="2" t="s">
        <v>118</v>
      </c>
      <c r="X20" s="2" t="s">
        <v>552</v>
      </c>
      <c r="Y20" s="3" t="n">
        <v>45332</v>
      </c>
      <c r="Z20" s="2" t="s">
        <v>553</v>
      </c>
      <c r="AA20" s="2" t="s">
        <v>161</v>
      </c>
      <c r="AB20" s="2" t="s">
        <v>122</v>
      </c>
      <c r="AC20" s="2" t="s">
        <v>554</v>
      </c>
      <c r="AD20" s="2" t="s">
        <v>394</v>
      </c>
      <c r="AE20" s="2" t="s">
        <v>395</v>
      </c>
      <c r="AF20" s="2" t="s">
        <v>555</v>
      </c>
      <c r="AG20" s="2" t="s">
        <v>556</v>
      </c>
      <c r="AH20" s="2" t="n">
        <v>5</v>
      </c>
      <c r="AI20" s="4" t="n">
        <v>138.06</v>
      </c>
      <c r="AJ20" s="5" t="n">
        <v>0.15</v>
      </c>
      <c r="AK20" s="5" t="n">
        <v>0.08</v>
      </c>
      <c r="AL20" s="4" t="n">
        <v>16.75</v>
      </c>
      <c r="AM20" s="2" t="s">
        <v>128</v>
      </c>
      <c r="AN20" s="2" t="s">
        <v>557</v>
      </c>
      <c r="AO20" s="2" t="s">
        <v>222</v>
      </c>
      <c r="AP20" s="4" t="n">
        <v>62.13</v>
      </c>
      <c r="AQ20" s="2" t="s">
        <v>558</v>
      </c>
      <c r="AR20" s="2" t="s">
        <v>559</v>
      </c>
      <c r="AS20" s="2" t="s">
        <v>547</v>
      </c>
      <c r="AT20" s="2" t="s">
        <v>487</v>
      </c>
      <c r="AU20" s="2" t="s">
        <v>172</v>
      </c>
      <c r="AV20" s="2" t="s">
        <v>375</v>
      </c>
      <c r="AW20" s="2" t="s">
        <v>560</v>
      </c>
      <c r="AX20" s="3" t="n">
        <v>45339</v>
      </c>
      <c r="AY20" s="3" t="n">
        <v>45341</v>
      </c>
      <c r="AZ20" s="2" t="s">
        <v>203</v>
      </c>
      <c r="BA20" s="2" t="s">
        <v>118</v>
      </c>
      <c r="BB20" s="2" t="s">
        <v>113</v>
      </c>
      <c r="BC20" s="2" t="s">
        <v>113</v>
      </c>
      <c r="BD20" s="2" t="s">
        <v>118</v>
      </c>
      <c r="BE20" s="2" t="s">
        <v>113</v>
      </c>
      <c r="BF20" s="2" t="s">
        <v>353</v>
      </c>
      <c r="BG20" s="2" t="s">
        <v>561</v>
      </c>
      <c r="BH20" s="2" t="s">
        <v>562</v>
      </c>
      <c r="BI20" s="4" t="n">
        <v>475.83</v>
      </c>
      <c r="BJ20" s="2" t="n">
        <v>19691</v>
      </c>
      <c r="BK20" s="2" t="n">
        <v>219</v>
      </c>
      <c r="BL20" s="2" t="s">
        <v>563</v>
      </c>
      <c r="BM20" s="2" t="s">
        <v>117</v>
      </c>
      <c r="BN20" s="2" t="s">
        <v>177</v>
      </c>
      <c r="BO20" s="2" t="s">
        <v>142</v>
      </c>
      <c r="BP20" s="2" t="s">
        <v>143</v>
      </c>
      <c r="BQ20" s="2" t="n">
        <v>45</v>
      </c>
      <c r="BR20" s="2" t="n">
        <v>10</v>
      </c>
      <c r="BS20" s="2" t="s">
        <v>117</v>
      </c>
      <c r="BT20" s="2" t="n">
        <v>3</v>
      </c>
      <c r="BU20" s="2" t="n">
        <v>15.7</v>
      </c>
      <c r="BV20" s="2" t="n">
        <v>35</v>
      </c>
      <c r="BW20" s="3" t="n">
        <v>45871</v>
      </c>
      <c r="BX20" s="2" t="n">
        <v>5</v>
      </c>
      <c r="BY20" s="2" t="n">
        <v>9</v>
      </c>
      <c r="BZ20" s="2" t="s">
        <v>118</v>
      </c>
      <c r="CA20" s="2" t="n">
        <v>-2</v>
      </c>
      <c r="CB20" s="2" t="n">
        <v>5</v>
      </c>
      <c r="CC20" s="2" t="n">
        <v>2</v>
      </c>
      <c r="CD20" s="2" t="n">
        <v>52.2</v>
      </c>
      <c r="CE20" s="4" t="n">
        <v>9865.63</v>
      </c>
      <c r="CF20" s="5" t="n">
        <v>90.6</v>
      </c>
      <c r="CG20" s="2" t="n">
        <v>453</v>
      </c>
      <c r="CH20" s="2" t="s">
        <v>144</v>
      </c>
      <c r="CI20" s="2" t="s">
        <v>117</v>
      </c>
      <c r="CJ20" s="2" t="n">
        <v>6</v>
      </c>
      <c r="CK20" s="2" t="n">
        <v>20</v>
      </c>
      <c r="CL20" s="4" t="n">
        <v>114.1</v>
      </c>
      <c r="CM20" s="2" t="n">
        <v>354</v>
      </c>
      <c r="CN20" s="2" t="s">
        <v>118</v>
      </c>
      <c r="CO20" s="4" t="n">
        <f aca="false">AH20*AI20</f>
        <v>690.3</v>
      </c>
      <c r="CP20" s="4" t="n">
        <f aca="false">CO20*AJ20</f>
        <v>103.545</v>
      </c>
      <c r="CQ20" s="4" t="n">
        <f aca="false">(CO20-CP20)*AK20</f>
        <v>46.9404</v>
      </c>
      <c r="CR20" s="4" t="n">
        <f aca="false">CO20-CP20+CQ20+AL20</f>
        <v>650.4454</v>
      </c>
      <c r="CS20" s="4" t="n">
        <f aca="false">CR20-(AP20*AH20)-AL20</f>
        <v>323.0454</v>
      </c>
      <c r="CT20" s="5" t="n">
        <f aca="false">IFERROR(CS20/CR20,0)</f>
        <v>0.496652601432803</v>
      </c>
      <c r="CU20" s="6" t="n">
        <f aca="false">IFERROR(BK20/BJ20,0)</f>
        <v>0.0111218323091768</v>
      </c>
      <c r="CV20" s="2" t="n">
        <f aca="false">IF(AY20="N/A","N/A",AY20-AX20)</f>
        <v>2</v>
      </c>
    </row>
    <row r="21" customFormat="false" ht="15" hidden="false" customHeight="false" outlineLevel="0" collapsed="false">
      <c r="A21" s="2" t="s">
        <v>564</v>
      </c>
      <c r="B21" s="2" t="s">
        <v>565</v>
      </c>
      <c r="C21" s="2" t="s">
        <v>566</v>
      </c>
      <c r="D21" s="2" t="s">
        <v>567</v>
      </c>
      <c r="E21" s="2" t="s">
        <v>568</v>
      </c>
      <c r="F21" s="2" t="s">
        <v>150</v>
      </c>
      <c r="G21" s="2" t="n">
        <v>20</v>
      </c>
      <c r="H21" s="3" t="n">
        <v>38545</v>
      </c>
      <c r="I21" s="2" t="s">
        <v>106</v>
      </c>
      <c r="J21" s="2" t="s">
        <v>107</v>
      </c>
      <c r="K21" s="2" t="s">
        <v>108</v>
      </c>
      <c r="L21" s="2" t="s">
        <v>109</v>
      </c>
      <c r="M21" s="2" t="s">
        <v>569</v>
      </c>
      <c r="N21" s="3" t="n">
        <v>44920</v>
      </c>
      <c r="O21" s="2" t="s">
        <v>311</v>
      </c>
      <c r="P21" s="2" t="n">
        <v>3677</v>
      </c>
      <c r="Q21" s="2" t="s">
        <v>570</v>
      </c>
      <c r="R21" s="2" t="s">
        <v>571</v>
      </c>
      <c r="S21" s="2" t="s">
        <v>114</v>
      </c>
      <c r="T21" s="2" t="s">
        <v>365</v>
      </c>
      <c r="U21" s="2" t="s">
        <v>158</v>
      </c>
      <c r="V21" s="2" t="s">
        <v>117</v>
      </c>
      <c r="W21" s="2" t="s">
        <v>117</v>
      </c>
      <c r="X21" s="2" t="s">
        <v>572</v>
      </c>
      <c r="Y21" s="3" t="n">
        <v>45531</v>
      </c>
      <c r="Z21" s="2" t="s">
        <v>573</v>
      </c>
      <c r="AA21" s="2" t="s">
        <v>121</v>
      </c>
      <c r="AB21" s="2" t="s">
        <v>342</v>
      </c>
      <c r="AC21" s="2" t="s">
        <v>574</v>
      </c>
      <c r="AD21" s="2" t="s">
        <v>195</v>
      </c>
      <c r="AE21" s="2" t="s">
        <v>125</v>
      </c>
      <c r="AF21" s="2" t="s">
        <v>196</v>
      </c>
      <c r="AG21" s="2" t="s">
        <v>197</v>
      </c>
      <c r="AH21" s="2" t="n">
        <v>2</v>
      </c>
      <c r="AI21" s="4" t="n">
        <v>60.23</v>
      </c>
      <c r="AJ21" s="5" t="n">
        <v>0.25</v>
      </c>
      <c r="AK21" s="5" t="n">
        <v>0.08</v>
      </c>
      <c r="AL21" s="4" t="n">
        <v>9.35</v>
      </c>
      <c r="AM21" s="2" t="s">
        <v>198</v>
      </c>
      <c r="AN21" s="2" t="s">
        <v>557</v>
      </c>
      <c r="AO21" s="2" t="s">
        <v>215</v>
      </c>
      <c r="AP21" s="4" t="n">
        <v>21.08</v>
      </c>
      <c r="AQ21" s="2" t="s">
        <v>575</v>
      </c>
      <c r="AR21" s="2" t="s">
        <v>576</v>
      </c>
      <c r="AS21" s="2" t="s">
        <v>108</v>
      </c>
      <c r="AT21" s="2" t="s">
        <v>106</v>
      </c>
      <c r="AU21" s="2" t="s">
        <v>322</v>
      </c>
      <c r="AV21" s="2" t="s">
        <v>351</v>
      </c>
      <c r="AW21" s="2" t="s">
        <v>577</v>
      </c>
      <c r="AX21" s="3" t="n">
        <v>45540</v>
      </c>
      <c r="AY21" s="2" t="s">
        <v>113</v>
      </c>
      <c r="AZ21" s="2" t="s">
        <v>203</v>
      </c>
      <c r="BA21" s="2" t="s">
        <v>118</v>
      </c>
      <c r="BB21" s="2" t="s">
        <v>113</v>
      </c>
      <c r="BC21" s="2" t="s">
        <v>113</v>
      </c>
      <c r="BD21" s="2" t="s">
        <v>118</v>
      </c>
      <c r="BE21" s="2" t="s">
        <v>113</v>
      </c>
      <c r="BF21" s="2" t="s">
        <v>204</v>
      </c>
      <c r="BG21" s="2" t="s">
        <v>578</v>
      </c>
      <c r="BH21" s="2" t="s">
        <v>579</v>
      </c>
      <c r="BI21" s="4" t="n">
        <v>23.96</v>
      </c>
      <c r="BJ21" s="2" t="n">
        <v>13818</v>
      </c>
      <c r="BK21" s="2" t="n">
        <v>668</v>
      </c>
      <c r="BL21" s="2" t="s">
        <v>113</v>
      </c>
      <c r="BM21" s="2" t="s">
        <v>118</v>
      </c>
      <c r="BN21" s="2" t="s">
        <v>141</v>
      </c>
      <c r="BO21" s="2" t="s">
        <v>207</v>
      </c>
      <c r="BP21" s="2" t="s">
        <v>357</v>
      </c>
      <c r="BQ21" s="2" t="n">
        <v>37.5</v>
      </c>
      <c r="BR21" s="2" t="n">
        <v>31</v>
      </c>
      <c r="BS21" s="2" t="s">
        <v>118</v>
      </c>
      <c r="BT21" s="2" t="n">
        <v>0</v>
      </c>
      <c r="BU21" s="2" t="n">
        <v>27.3</v>
      </c>
      <c r="BV21" s="2" t="n">
        <v>2</v>
      </c>
      <c r="BW21" s="3" t="n">
        <v>45662</v>
      </c>
      <c r="BX21" s="2" t="n">
        <v>2</v>
      </c>
      <c r="BY21" s="2" t="n">
        <v>55</v>
      </c>
      <c r="BZ21" s="2" t="s">
        <v>118</v>
      </c>
      <c r="CA21" s="2" t="n">
        <v>23</v>
      </c>
      <c r="CB21" s="2" t="n">
        <v>6</v>
      </c>
      <c r="CC21" s="2" t="n">
        <v>4</v>
      </c>
      <c r="CD21" s="2" t="n">
        <v>67.3</v>
      </c>
      <c r="CE21" s="4" t="n">
        <v>10685.44</v>
      </c>
      <c r="CF21" s="5" t="n">
        <v>51.6</v>
      </c>
      <c r="CG21" s="2" t="n">
        <v>427</v>
      </c>
      <c r="CH21" s="2" t="s">
        <v>144</v>
      </c>
      <c r="CI21" s="2" t="s">
        <v>118</v>
      </c>
      <c r="CJ21" s="2" t="n">
        <v>9</v>
      </c>
      <c r="CK21" s="2" t="n">
        <v>68</v>
      </c>
      <c r="CL21" s="4" t="n">
        <v>265.49</v>
      </c>
      <c r="CM21" s="2" t="n">
        <v>397</v>
      </c>
      <c r="CN21" s="2" t="s">
        <v>118</v>
      </c>
      <c r="CO21" s="4" t="n">
        <f aca="false">AH21*AI21</f>
        <v>120.46</v>
      </c>
      <c r="CP21" s="4" t="n">
        <f aca="false">CO21*AJ21</f>
        <v>30.115</v>
      </c>
      <c r="CQ21" s="4" t="n">
        <f aca="false">(CO21-CP21)*AK21</f>
        <v>7.2276</v>
      </c>
      <c r="CR21" s="4" t="n">
        <f aca="false">CO21-CP21+CQ21+AL21</f>
        <v>106.9226</v>
      </c>
      <c r="CS21" s="4" t="n">
        <f aca="false">CR21-(AP21*AH21)-AL21</f>
        <v>55.4126</v>
      </c>
      <c r="CT21" s="5" t="n">
        <f aca="false">IFERROR(CS21/CR21,0)</f>
        <v>0.518249649746639</v>
      </c>
      <c r="CU21" s="6" t="n">
        <f aca="false">IFERROR(BK21/BJ21,0)</f>
        <v>0.0483427413518599</v>
      </c>
      <c r="CV21" s="2" t="str">
        <f aca="false">IF(AY21="N/A","N/A",AY21-AX21)</f>
        <v>N/A</v>
      </c>
    </row>
    <row r="22" customFormat="false" ht="15" hidden="false" customHeight="false" outlineLevel="0" collapsed="false">
      <c r="A22" s="2" t="s">
        <v>580</v>
      </c>
      <c r="B22" s="2" t="s">
        <v>464</v>
      </c>
      <c r="C22" s="2" t="s">
        <v>180</v>
      </c>
      <c r="D22" s="2" t="s">
        <v>581</v>
      </c>
      <c r="E22" s="2" t="s">
        <v>582</v>
      </c>
      <c r="F22" s="2" t="s">
        <v>105</v>
      </c>
      <c r="G22" s="2" t="n">
        <v>33</v>
      </c>
      <c r="H22" s="3" t="n">
        <v>33806</v>
      </c>
      <c r="I22" s="2" t="s">
        <v>235</v>
      </c>
      <c r="J22" s="2" t="s">
        <v>236</v>
      </c>
      <c r="K22" s="2" t="s">
        <v>236</v>
      </c>
      <c r="L22" s="2" t="s">
        <v>237</v>
      </c>
      <c r="M22" s="2" t="s">
        <v>583</v>
      </c>
      <c r="N22" s="3" t="n">
        <v>44973</v>
      </c>
      <c r="O22" s="2" t="s">
        <v>155</v>
      </c>
      <c r="P22" s="2" t="n">
        <v>4094</v>
      </c>
      <c r="Q22" s="2" t="s">
        <v>584</v>
      </c>
      <c r="R22" s="2" t="s">
        <v>113</v>
      </c>
      <c r="S22" s="2" t="s">
        <v>114</v>
      </c>
      <c r="T22" s="2" t="s">
        <v>115</v>
      </c>
      <c r="U22" s="2" t="s">
        <v>169</v>
      </c>
      <c r="V22" s="2" t="s">
        <v>118</v>
      </c>
      <c r="W22" s="2" t="s">
        <v>118</v>
      </c>
      <c r="X22" s="2" t="s">
        <v>585</v>
      </c>
      <c r="Y22" s="3" t="n">
        <v>45903</v>
      </c>
      <c r="Z22" s="2" t="s">
        <v>586</v>
      </c>
      <c r="AA22" s="2" t="s">
        <v>414</v>
      </c>
      <c r="AB22" s="2" t="s">
        <v>122</v>
      </c>
      <c r="AC22" s="2" t="s">
        <v>587</v>
      </c>
      <c r="AD22" s="2" t="s">
        <v>588</v>
      </c>
      <c r="AE22" s="2" t="s">
        <v>125</v>
      </c>
      <c r="AF22" s="2" t="s">
        <v>589</v>
      </c>
      <c r="AG22" s="2" t="s">
        <v>590</v>
      </c>
      <c r="AH22" s="2" t="n">
        <v>2</v>
      </c>
      <c r="AI22" s="4" t="n">
        <v>110.03</v>
      </c>
      <c r="AJ22" s="5" t="n">
        <v>0.1</v>
      </c>
      <c r="AK22" s="5" t="n">
        <v>0.08</v>
      </c>
      <c r="AL22" s="4" t="n">
        <v>8.46</v>
      </c>
      <c r="AM22" s="2" t="s">
        <v>128</v>
      </c>
      <c r="AN22" s="2" t="s">
        <v>129</v>
      </c>
      <c r="AO22" s="2" t="s">
        <v>158</v>
      </c>
      <c r="AP22" s="4" t="n">
        <v>38.51</v>
      </c>
      <c r="AQ22" s="2" t="s">
        <v>591</v>
      </c>
      <c r="AR22" s="2" t="s">
        <v>592</v>
      </c>
      <c r="AS22" s="2" t="s">
        <v>236</v>
      </c>
      <c r="AT22" s="2" t="s">
        <v>235</v>
      </c>
      <c r="AU22" s="2" t="s">
        <v>350</v>
      </c>
      <c r="AV22" s="2" t="s">
        <v>278</v>
      </c>
      <c r="AW22" s="2" t="s">
        <v>593</v>
      </c>
      <c r="AX22" s="3" t="n">
        <v>45911</v>
      </c>
      <c r="AY22" s="2" t="s">
        <v>113</v>
      </c>
      <c r="AZ22" s="2" t="s">
        <v>175</v>
      </c>
      <c r="BA22" s="2" t="s">
        <v>118</v>
      </c>
      <c r="BB22" s="2" t="s">
        <v>113</v>
      </c>
      <c r="BC22" s="2" t="s">
        <v>113</v>
      </c>
      <c r="BD22" s="2" t="s">
        <v>118</v>
      </c>
      <c r="BE22" s="2" t="s">
        <v>113</v>
      </c>
      <c r="BF22" s="2" t="s">
        <v>440</v>
      </c>
      <c r="BG22" s="2" t="s">
        <v>594</v>
      </c>
      <c r="BH22" s="2" t="s">
        <v>595</v>
      </c>
      <c r="BI22" s="4" t="n">
        <v>23.31</v>
      </c>
      <c r="BJ22" s="2" t="n">
        <v>13750</v>
      </c>
      <c r="BK22" s="2" t="n">
        <v>772</v>
      </c>
      <c r="BL22" s="2" t="s">
        <v>596</v>
      </c>
      <c r="BM22" s="2" t="s">
        <v>118</v>
      </c>
      <c r="BN22" s="2" t="s">
        <v>141</v>
      </c>
      <c r="BO22" s="2" t="s">
        <v>142</v>
      </c>
      <c r="BP22" s="2" t="s">
        <v>143</v>
      </c>
      <c r="BQ22" s="2" t="n">
        <v>14.5</v>
      </c>
      <c r="BR22" s="2" t="n">
        <v>20</v>
      </c>
      <c r="BS22" s="2" t="s">
        <v>118</v>
      </c>
      <c r="BT22" s="2" t="n">
        <v>17</v>
      </c>
      <c r="BU22" s="2" t="n">
        <v>14.7</v>
      </c>
      <c r="BV22" s="2" t="n">
        <v>3</v>
      </c>
      <c r="BW22" s="3" t="n">
        <v>45999</v>
      </c>
      <c r="BX22" s="2" t="n">
        <v>5</v>
      </c>
      <c r="BY22" s="2" t="n">
        <v>48</v>
      </c>
      <c r="BZ22" s="2" t="s">
        <v>117</v>
      </c>
      <c r="CA22" s="2" t="n">
        <v>39</v>
      </c>
      <c r="CB22" s="2" t="n">
        <v>9</v>
      </c>
      <c r="CC22" s="2" t="n">
        <v>4</v>
      </c>
      <c r="CD22" s="2" t="n">
        <v>40.1</v>
      </c>
      <c r="CE22" s="4" t="n">
        <v>5887.28</v>
      </c>
      <c r="CF22" s="5" t="n">
        <v>47</v>
      </c>
      <c r="CG22" s="2" t="n">
        <v>696</v>
      </c>
      <c r="CH22" s="2" t="s">
        <v>283</v>
      </c>
      <c r="CI22" s="2" t="s">
        <v>118</v>
      </c>
      <c r="CJ22" s="2" t="n">
        <v>5</v>
      </c>
      <c r="CK22" s="2" t="n">
        <v>35</v>
      </c>
      <c r="CL22" s="4" t="n">
        <v>92.2</v>
      </c>
      <c r="CM22" s="2" t="n">
        <v>188</v>
      </c>
      <c r="CN22" s="2" t="s">
        <v>118</v>
      </c>
      <c r="CO22" s="4" t="n">
        <f aca="false">AH22*AI22</f>
        <v>220.06</v>
      </c>
      <c r="CP22" s="4" t="n">
        <f aca="false">CO22*AJ22</f>
        <v>22.006</v>
      </c>
      <c r="CQ22" s="4" t="n">
        <f aca="false">(CO22-CP22)*AK22</f>
        <v>15.84432</v>
      </c>
      <c r="CR22" s="4" t="n">
        <f aca="false">CO22-CP22+CQ22+AL22</f>
        <v>222.35832</v>
      </c>
      <c r="CS22" s="4" t="n">
        <f aca="false">CR22-(AP22*AH22)-AL22</f>
        <v>136.87832</v>
      </c>
      <c r="CT22" s="5" t="n">
        <f aca="false">IFERROR(CS22/CR22,0)</f>
        <v>0.615575436979376</v>
      </c>
      <c r="CU22" s="6" t="n">
        <f aca="false">IFERROR(BK22/BJ22,0)</f>
        <v>0.0561454545454546</v>
      </c>
      <c r="CV22" s="2" t="str">
        <f aca="false">IF(AY22="N/A","N/A",AY22-AX22)</f>
        <v>N/A</v>
      </c>
    </row>
    <row r="23" customFormat="false" ht="15" hidden="false" customHeight="false" outlineLevel="0" collapsed="false">
      <c r="A23" s="2" t="s">
        <v>531</v>
      </c>
      <c r="B23" s="2" t="s">
        <v>209</v>
      </c>
      <c r="C23" s="2" t="s">
        <v>232</v>
      </c>
      <c r="D23" s="2" t="s">
        <v>597</v>
      </c>
      <c r="E23" s="2" t="s">
        <v>598</v>
      </c>
      <c r="F23" s="2" t="s">
        <v>150</v>
      </c>
      <c r="G23" s="2" t="n">
        <v>75</v>
      </c>
      <c r="H23" s="3" t="n">
        <v>18455</v>
      </c>
      <c r="I23" s="2" t="s">
        <v>599</v>
      </c>
      <c r="J23" s="2" t="s">
        <v>600</v>
      </c>
      <c r="K23" s="2" t="s">
        <v>601</v>
      </c>
      <c r="L23" s="2" t="s">
        <v>602</v>
      </c>
      <c r="M23" s="2" t="s">
        <v>603</v>
      </c>
      <c r="N23" s="3" t="n">
        <v>45133</v>
      </c>
      <c r="O23" s="2" t="s">
        <v>311</v>
      </c>
      <c r="P23" s="2" t="n">
        <v>3009</v>
      </c>
      <c r="Q23" s="2" t="s">
        <v>604</v>
      </c>
      <c r="R23" s="2" t="s">
        <v>113</v>
      </c>
      <c r="S23" s="2" t="s">
        <v>114</v>
      </c>
      <c r="T23" s="2" t="s">
        <v>115</v>
      </c>
      <c r="U23" s="2" t="s">
        <v>271</v>
      </c>
      <c r="V23" s="2" t="s">
        <v>118</v>
      </c>
      <c r="W23" s="2" t="s">
        <v>117</v>
      </c>
      <c r="X23" s="2" t="s">
        <v>605</v>
      </c>
      <c r="Y23" s="3" t="n">
        <v>45823</v>
      </c>
      <c r="Z23" s="2" t="s">
        <v>606</v>
      </c>
      <c r="AA23" s="2" t="s">
        <v>161</v>
      </c>
      <c r="AB23" s="2" t="s">
        <v>342</v>
      </c>
      <c r="AC23" s="2" t="s">
        <v>607</v>
      </c>
      <c r="AD23" s="2" t="s">
        <v>608</v>
      </c>
      <c r="AE23" s="2" t="s">
        <v>317</v>
      </c>
      <c r="AF23" s="2" t="s">
        <v>609</v>
      </c>
      <c r="AG23" s="2" t="s">
        <v>610</v>
      </c>
      <c r="AH23" s="2" t="n">
        <v>4</v>
      </c>
      <c r="AI23" s="4" t="n">
        <v>397.56</v>
      </c>
      <c r="AJ23" s="5" t="n">
        <v>0</v>
      </c>
      <c r="AK23" s="5" t="n">
        <v>0.08</v>
      </c>
      <c r="AL23" s="4" t="n">
        <v>3.16</v>
      </c>
      <c r="AM23" s="2" t="s">
        <v>168</v>
      </c>
      <c r="AN23" s="2" t="s">
        <v>475</v>
      </c>
      <c r="AO23" s="2" t="s">
        <v>215</v>
      </c>
      <c r="AP23" s="4" t="n">
        <v>198.78</v>
      </c>
      <c r="AQ23" s="2" t="s">
        <v>611</v>
      </c>
      <c r="AR23" s="2" t="s">
        <v>612</v>
      </c>
      <c r="AS23" s="2" t="s">
        <v>601</v>
      </c>
      <c r="AT23" s="2" t="s">
        <v>599</v>
      </c>
      <c r="AU23" s="2" t="s">
        <v>172</v>
      </c>
      <c r="AV23" s="2" t="s">
        <v>351</v>
      </c>
      <c r="AW23" s="2" t="s">
        <v>613</v>
      </c>
      <c r="AX23" s="3" t="n">
        <v>45833</v>
      </c>
      <c r="AY23" s="3" t="n">
        <v>45835</v>
      </c>
      <c r="AZ23" s="2" t="s">
        <v>175</v>
      </c>
      <c r="BA23" s="2" t="s">
        <v>118</v>
      </c>
      <c r="BB23" s="2" t="s">
        <v>113</v>
      </c>
      <c r="BC23" s="2" t="s">
        <v>113</v>
      </c>
      <c r="BD23" s="2" t="s">
        <v>118</v>
      </c>
      <c r="BE23" s="2" t="s">
        <v>113</v>
      </c>
      <c r="BF23" s="2" t="s">
        <v>137</v>
      </c>
      <c r="BG23" s="2" t="s">
        <v>401</v>
      </c>
      <c r="BH23" s="2" t="s">
        <v>614</v>
      </c>
      <c r="BI23" s="4" t="n">
        <v>189.15</v>
      </c>
      <c r="BJ23" s="2" t="n">
        <v>9787</v>
      </c>
      <c r="BK23" s="2" t="n">
        <v>632</v>
      </c>
      <c r="BL23" s="2" t="s">
        <v>113</v>
      </c>
      <c r="BM23" s="2" t="s">
        <v>118</v>
      </c>
      <c r="BN23" s="2" t="s">
        <v>141</v>
      </c>
      <c r="BO23" s="2" t="s">
        <v>258</v>
      </c>
      <c r="BP23" s="2" t="s">
        <v>328</v>
      </c>
      <c r="BQ23" s="2" t="n">
        <v>24.1</v>
      </c>
      <c r="BR23" s="2" t="n">
        <v>26</v>
      </c>
      <c r="BS23" s="2" t="s">
        <v>118</v>
      </c>
      <c r="BT23" s="2" t="n">
        <v>8</v>
      </c>
      <c r="BU23" s="2" t="n">
        <v>8.2</v>
      </c>
      <c r="BV23" s="2" t="n">
        <v>8</v>
      </c>
      <c r="BW23" s="3" t="n">
        <v>45829</v>
      </c>
      <c r="BX23" s="2" t="n">
        <v>5</v>
      </c>
      <c r="BY23" s="2" t="n">
        <v>47</v>
      </c>
      <c r="BZ23" s="2" t="s">
        <v>118</v>
      </c>
      <c r="CA23" s="2" t="n">
        <v>-11</v>
      </c>
      <c r="CB23" s="2" t="n">
        <v>8</v>
      </c>
      <c r="CC23" s="2" t="n">
        <v>0</v>
      </c>
      <c r="CD23" s="2" t="n">
        <v>0</v>
      </c>
      <c r="CE23" s="4" t="n">
        <v>10915.88</v>
      </c>
      <c r="CF23" s="5" t="n">
        <v>91.2</v>
      </c>
      <c r="CG23" s="2" t="n">
        <v>745</v>
      </c>
      <c r="CH23" s="2" t="s">
        <v>329</v>
      </c>
      <c r="CI23" s="2" t="s">
        <v>118</v>
      </c>
      <c r="CJ23" s="2" t="n">
        <v>1</v>
      </c>
      <c r="CK23" s="2" t="n">
        <v>34</v>
      </c>
      <c r="CL23" s="4" t="n">
        <v>469.48</v>
      </c>
      <c r="CM23" s="2" t="n">
        <v>360</v>
      </c>
      <c r="CN23" s="2" t="s">
        <v>118</v>
      </c>
      <c r="CO23" s="4" t="n">
        <f aca="false">AH23*AI23</f>
        <v>1590.24</v>
      </c>
      <c r="CP23" s="4" t="n">
        <f aca="false">CO23*AJ23</f>
        <v>0</v>
      </c>
      <c r="CQ23" s="4" t="n">
        <f aca="false">(CO23-CP23)*AK23</f>
        <v>127.2192</v>
      </c>
      <c r="CR23" s="4" t="n">
        <f aca="false">CO23-CP23+CQ23+AL23</f>
        <v>1720.6192</v>
      </c>
      <c r="CS23" s="4" t="n">
        <f aca="false">CR23-(AP23*AH23)-AL23</f>
        <v>922.3392</v>
      </c>
      <c r="CT23" s="5" t="n">
        <f aca="false">IFERROR(CS23/CR23,0)</f>
        <v>0.536050742662874</v>
      </c>
      <c r="CU23" s="6" t="n">
        <f aca="false">IFERROR(BK23/BJ23,0)</f>
        <v>0.0645754572391949</v>
      </c>
      <c r="CV23" s="2" t="n">
        <f aca="false">IF(AY23="N/A","N/A",AY23-AX23)</f>
        <v>2</v>
      </c>
    </row>
    <row r="24" customFormat="false" ht="15" hidden="false" customHeight="false" outlineLevel="0" collapsed="false">
      <c r="A24" s="2" t="s">
        <v>615</v>
      </c>
      <c r="B24" s="2" t="s">
        <v>483</v>
      </c>
      <c r="C24" s="2" t="s">
        <v>616</v>
      </c>
      <c r="D24" s="2" t="s">
        <v>617</v>
      </c>
      <c r="E24" s="2" t="s">
        <v>618</v>
      </c>
      <c r="F24" s="2" t="s">
        <v>184</v>
      </c>
      <c r="G24" s="2" t="n">
        <v>49</v>
      </c>
      <c r="H24" s="3" t="n">
        <v>27854</v>
      </c>
      <c r="I24" s="2" t="s">
        <v>265</v>
      </c>
      <c r="J24" s="2" t="s">
        <v>386</v>
      </c>
      <c r="K24" s="2" t="s">
        <v>387</v>
      </c>
      <c r="L24" s="2" t="s">
        <v>388</v>
      </c>
      <c r="M24" s="2" t="s">
        <v>619</v>
      </c>
      <c r="N24" s="3" t="n">
        <v>43404</v>
      </c>
      <c r="O24" s="2" t="s">
        <v>311</v>
      </c>
      <c r="P24" s="2" t="n">
        <v>3646</v>
      </c>
      <c r="Q24" s="2" t="s">
        <v>620</v>
      </c>
      <c r="R24" s="2" t="s">
        <v>113</v>
      </c>
      <c r="S24" s="2" t="s">
        <v>114</v>
      </c>
      <c r="T24" s="2" t="s">
        <v>191</v>
      </c>
      <c r="U24" s="2" t="s">
        <v>169</v>
      </c>
      <c r="V24" s="2" t="s">
        <v>117</v>
      </c>
      <c r="W24" s="2" t="s">
        <v>117</v>
      </c>
      <c r="X24" s="2" t="s">
        <v>621</v>
      </c>
      <c r="Y24" s="3" t="n">
        <v>45381</v>
      </c>
      <c r="Z24" s="2" t="s">
        <v>622</v>
      </c>
      <c r="AA24" s="2" t="s">
        <v>121</v>
      </c>
      <c r="AB24" s="2" t="s">
        <v>122</v>
      </c>
      <c r="AC24" s="2" t="s">
        <v>623</v>
      </c>
      <c r="AD24" s="2" t="s">
        <v>624</v>
      </c>
      <c r="AE24" s="2" t="s">
        <v>625</v>
      </c>
      <c r="AF24" s="2" t="s">
        <v>626</v>
      </c>
      <c r="AG24" s="2" t="s">
        <v>627</v>
      </c>
      <c r="AH24" s="2" t="n">
        <v>5</v>
      </c>
      <c r="AI24" s="4" t="n">
        <v>101.25</v>
      </c>
      <c r="AJ24" s="5" t="n">
        <v>0.1</v>
      </c>
      <c r="AK24" s="5" t="n">
        <v>0.08</v>
      </c>
      <c r="AL24" s="4" t="n">
        <v>21.95</v>
      </c>
      <c r="AM24" s="2" t="s">
        <v>247</v>
      </c>
      <c r="AN24" s="2" t="s">
        <v>129</v>
      </c>
      <c r="AO24" s="2" t="s">
        <v>271</v>
      </c>
      <c r="AP24" s="4" t="n">
        <v>45.56</v>
      </c>
      <c r="AQ24" s="2" t="s">
        <v>628</v>
      </c>
      <c r="AR24" s="2" t="s">
        <v>629</v>
      </c>
      <c r="AS24" s="2" t="s">
        <v>387</v>
      </c>
      <c r="AT24" s="2" t="s">
        <v>265</v>
      </c>
      <c r="AU24" s="2" t="s">
        <v>350</v>
      </c>
      <c r="AV24" s="2" t="s">
        <v>173</v>
      </c>
      <c r="AW24" s="2" t="s">
        <v>630</v>
      </c>
      <c r="AX24" s="3" t="n">
        <v>45385</v>
      </c>
      <c r="AY24" s="2" t="s">
        <v>113</v>
      </c>
      <c r="AZ24" s="2" t="s">
        <v>301</v>
      </c>
      <c r="BA24" s="2" t="s">
        <v>118</v>
      </c>
      <c r="BB24" s="2" t="s">
        <v>113</v>
      </c>
      <c r="BC24" s="2" t="s">
        <v>113</v>
      </c>
      <c r="BD24" s="2" t="s">
        <v>118</v>
      </c>
      <c r="BE24" s="2" t="s">
        <v>113</v>
      </c>
      <c r="BF24" s="2" t="s">
        <v>226</v>
      </c>
      <c r="BG24" s="2" t="s">
        <v>461</v>
      </c>
      <c r="BH24" s="2" t="s">
        <v>631</v>
      </c>
      <c r="BI24" s="4" t="n">
        <v>155.54</v>
      </c>
      <c r="BJ24" s="2" t="n">
        <v>4076</v>
      </c>
      <c r="BK24" s="2" t="n">
        <v>210</v>
      </c>
      <c r="BL24" s="2" t="s">
        <v>632</v>
      </c>
      <c r="BM24" s="2" t="s">
        <v>117</v>
      </c>
      <c r="BN24" s="2" t="s">
        <v>177</v>
      </c>
      <c r="BO24" s="2" t="s">
        <v>258</v>
      </c>
      <c r="BP24" s="2" t="s">
        <v>143</v>
      </c>
      <c r="BQ24" s="2" t="n">
        <v>42.4</v>
      </c>
      <c r="BR24" s="2" t="n">
        <v>19</v>
      </c>
      <c r="BS24" s="2" t="s">
        <v>118</v>
      </c>
      <c r="BT24" s="2" t="n">
        <v>8</v>
      </c>
      <c r="BU24" s="2" t="n">
        <v>6.7</v>
      </c>
      <c r="BV24" s="2" t="n">
        <v>36</v>
      </c>
      <c r="BW24" s="3" t="n">
        <v>45662</v>
      </c>
      <c r="BX24" s="2" t="n">
        <v>4</v>
      </c>
      <c r="BY24" s="2" t="n">
        <v>32</v>
      </c>
      <c r="BZ24" s="2" t="s">
        <v>118</v>
      </c>
      <c r="CA24" s="2" t="n">
        <v>46</v>
      </c>
      <c r="CB24" s="2" t="n">
        <v>6</v>
      </c>
      <c r="CC24" s="2" t="n">
        <v>3</v>
      </c>
      <c r="CD24" s="2" t="n">
        <v>58</v>
      </c>
      <c r="CE24" s="4" t="n">
        <v>8297.12</v>
      </c>
      <c r="CF24" s="5" t="n">
        <v>61.2</v>
      </c>
      <c r="CG24" s="2" t="n">
        <v>388</v>
      </c>
      <c r="CH24" s="2" t="s">
        <v>144</v>
      </c>
      <c r="CI24" s="2" t="s">
        <v>117</v>
      </c>
      <c r="CJ24" s="2" t="n">
        <v>8</v>
      </c>
      <c r="CK24" s="2" t="n">
        <v>22</v>
      </c>
      <c r="CL24" s="4" t="n">
        <v>363.25</v>
      </c>
      <c r="CM24" s="2" t="n">
        <v>297</v>
      </c>
      <c r="CN24" s="2" t="s">
        <v>118</v>
      </c>
      <c r="CO24" s="4" t="n">
        <f aca="false">AH24*AI24</f>
        <v>506.25</v>
      </c>
      <c r="CP24" s="4" t="n">
        <f aca="false">CO24*AJ24</f>
        <v>50.625</v>
      </c>
      <c r="CQ24" s="4" t="n">
        <f aca="false">(CO24-CP24)*AK24</f>
        <v>36.45</v>
      </c>
      <c r="CR24" s="4" t="n">
        <f aca="false">CO24-CP24+CQ24+AL24</f>
        <v>514.025</v>
      </c>
      <c r="CS24" s="4" t="n">
        <f aca="false">CR24-(AP24*AH24)-AL24</f>
        <v>264.275</v>
      </c>
      <c r="CT24" s="5" t="n">
        <f aca="false">IFERROR(CS24/CR24,0)</f>
        <v>0.514128690238802</v>
      </c>
      <c r="CU24" s="6" t="n">
        <f aca="false">IFERROR(BK24/BJ24,0)</f>
        <v>0.0515210991167812</v>
      </c>
      <c r="CV24" s="2" t="str">
        <f aca="false">IF(AY24="N/A","N/A",AY24-AX24)</f>
        <v>N/A</v>
      </c>
    </row>
    <row r="25" customFormat="false" ht="15" hidden="false" customHeight="false" outlineLevel="0" collapsed="false">
      <c r="A25" s="2" t="s">
        <v>633</v>
      </c>
      <c r="B25" s="2" t="s">
        <v>444</v>
      </c>
      <c r="C25" s="2" t="s">
        <v>634</v>
      </c>
      <c r="D25" s="2" t="s">
        <v>635</v>
      </c>
      <c r="E25" s="2" t="s">
        <v>636</v>
      </c>
      <c r="F25" s="2" t="s">
        <v>184</v>
      </c>
      <c r="G25" s="2" t="n">
        <v>75</v>
      </c>
      <c r="H25" s="3" t="n">
        <v>18547</v>
      </c>
      <c r="I25" s="2" t="s">
        <v>151</v>
      </c>
      <c r="J25" s="2" t="s">
        <v>152</v>
      </c>
      <c r="K25" s="2" t="s">
        <v>152</v>
      </c>
      <c r="L25" s="2" t="s">
        <v>153</v>
      </c>
      <c r="M25" s="2" t="s">
        <v>637</v>
      </c>
      <c r="N25" s="3" t="n">
        <v>43269</v>
      </c>
      <c r="O25" s="2" t="s">
        <v>111</v>
      </c>
      <c r="P25" s="2" t="n">
        <v>232</v>
      </c>
      <c r="Q25" s="2" t="s">
        <v>638</v>
      </c>
      <c r="R25" s="2" t="s">
        <v>113</v>
      </c>
      <c r="S25" s="2" t="s">
        <v>114</v>
      </c>
      <c r="T25" s="2" t="s">
        <v>365</v>
      </c>
      <c r="U25" s="2" t="s">
        <v>116</v>
      </c>
      <c r="V25" s="2" t="s">
        <v>117</v>
      </c>
      <c r="W25" s="2" t="s">
        <v>117</v>
      </c>
      <c r="X25" s="2" t="s">
        <v>639</v>
      </c>
      <c r="Y25" s="3" t="n">
        <v>45375</v>
      </c>
      <c r="Z25" s="2" t="s">
        <v>640</v>
      </c>
      <c r="AA25" s="2" t="s">
        <v>414</v>
      </c>
      <c r="AB25" s="2" t="s">
        <v>122</v>
      </c>
      <c r="AC25" s="2" t="s">
        <v>641</v>
      </c>
      <c r="AD25" s="2" t="s">
        <v>642</v>
      </c>
      <c r="AE25" s="2" t="s">
        <v>345</v>
      </c>
      <c r="AF25" s="2" t="s">
        <v>417</v>
      </c>
      <c r="AG25" s="2" t="s">
        <v>347</v>
      </c>
      <c r="AH25" s="2" t="n">
        <v>5</v>
      </c>
      <c r="AI25" s="4" t="n">
        <v>767.36</v>
      </c>
      <c r="AJ25" s="5" t="n">
        <v>0</v>
      </c>
      <c r="AK25" s="5" t="n">
        <v>0.08</v>
      </c>
      <c r="AL25" s="4" t="n">
        <v>21.6</v>
      </c>
      <c r="AM25" s="2" t="s">
        <v>198</v>
      </c>
      <c r="AN25" s="2" t="s">
        <v>129</v>
      </c>
      <c r="AO25" s="2" t="s">
        <v>158</v>
      </c>
      <c r="AP25" s="4" t="n">
        <v>460.42</v>
      </c>
      <c r="AQ25" s="2" t="s">
        <v>643</v>
      </c>
      <c r="AR25" s="2" t="s">
        <v>644</v>
      </c>
      <c r="AS25" s="2" t="s">
        <v>152</v>
      </c>
      <c r="AT25" s="2" t="s">
        <v>151</v>
      </c>
      <c r="AU25" s="2" t="s">
        <v>322</v>
      </c>
      <c r="AV25" s="2" t="s">
        <v>173</v>
      </c>
      <c r="AW25" s="2" t="s">
        <v>645</v>
      </c>
      <c r="AX25" s="3" t="n">
        <v>45384</v>
      </c>
      <c r="AY25" s="2" t="s">
        <v>113</v>
      </c>
      <c r="AZ25" s="2" t="s">
        <v>203</v>
      </c>
      <c r="BA25" s="2" t="s">
        <v>118</v>
      </c>
      <c r="BB25" s="2" t="s">
        <v>113</v>
      </c>
      <c r="BC25" s="2" t="s">
        <v>113</v>
      </c>
      <c r="BD25" s="2" t="s">
        <v>118</v>
      </c>
      <c r="BE25" s="2" t="s">
        <v>113</v>
      </c>
      <c r="BF25" s="2" t="s">
        <v>255</v>
      </c>
      <c r="BG25" s="2" t="s">
        <v>646</v>
      </c>
      <c r="BH25" s="2" t="s">
        <v>647</v>
      </c>
      <c r="BI25" s="4" t="n">
        <v>251.64</v>
      </c>
      <c r="BJ25" s="2" t="n">
        <v>8124</v>
      </c>
      <c r="BK25" s="2" t="n">
        <v>836</v>
      </c>
      <c r="BL25" s="2" t="s">
        <v>113</v>
      </c>
      <c r="BM25" s="2" t="s">
        <v>118</v>
      </c>
      <c r="BN25" s="2" t="s">
        <v>304</v>
      </c>
      <c r="BO25" s="2" t="s">
        <v>178</v>
      </c>
      <c r="BP25" s="2" t="s">
        <v>259</v>
      </c>
      <c r="BQ25" s="2" t="n">
        <v>14.2</v>
      </c>
      <c r="BR25" s="2" t="n">
        <v>2</v>
      </c>
      <c r="BS25" s="2" t="s">
        <v>117</v>
      </c>
      <c r="BT25" s="2" t="n">
        <v>12</v>
      </c>
      <c r="BU25" s="2" t="n">
        <v>15.7</v>
      </c>
      <c r="BV25" s="2" t="n">
        <v>16</v>
      </c>
      <c r="BW25" s="3" t="n">
        <v>45595</v>
      </c>
      <c r="BX25" s="2" t="n">
        <v>2</v>
      </c>
      <c r="BY25" s="2" t="n">
        <v>149</v>
      </c>
      <c r="BZ25" s="2" t="s">
        <v>117</v>
      </c>
      <c r="CA25" s="2" t="n">
        <v>12</v>
      </c>
      <c r="CB25" s="2" t="n">
        <v>7</v>
      </c>
      <c r="CC25" s="2" t="n">
        <v>3</v>
      </c>
      <c r="CD25" s="2" t="n">
        <v>33.7</v>
      </c>
      <c r="CE25" s="4" t="n">
        <v>5135.88</v>
      </c>
      <c r="CF25" s="5" t="n">
        <v>14.4</v>
      </c>
      <c r="CG25" s="2" t="n">
        <v>626</v>
      </c>
      <c r="CH25" s="2" t="s">
        <v>283</v>
      </c>
      <c r="CI25" s="2" t="s">
        <v>117</v>
      </c>
      <c r="CJ25" s="2" t="n">
        <v>9</v>
      </c>
      <c r="CK25" s="2" t="n">
        <v>61</v>
      </c>
      <c r="CL25" s="4" t="n">
        <v>185.73</v>
      </c>
      <c r="CM25" s="2" t="n">
        <v>4</v>
      </c>
      <c r="CN25" s="2" t="s">
        <v>118</v>
      </c>
      <c r="CO25" s="4" t="n">
        <f aca="false">AH25*AI25</f>
        <v>3836.8</v>
      </c>
      <c r="CP25" s="4" t="n">
        <f aca="false">CO25*AJ25</f>
        <v>0</v>
      </c>
      <c r="CQ25" s="4" t="n">
        <f aca="false">(CO25-CP25)*AK25</f>
        <v>306.944</v>
      </c>
      <c r="CR25" s="4" t="n">
        <f aca="false">CO25-CP25+CQ25+AL25</f>
        <v>4165.344</v>
      </c>
      <c r="CS25" s="4" t="n">
        <f aca="false">CR25-(AP25*AH25)-AL25</f>
        <v>1841.644</v>
      </c>
      <c r="CT25" s="5" t="n">
        <f aca="false">IFERROR(CS25/CR25,0)</f>
        <v>0.442134911306245</v>
      </c>
      <c r="CU25" s="6" t="n">
        <f aca="false">IFERROR(BK25/BJ25,0)</f>
        <v>0.102904972919744</v>
      </c>
      <c r="CV25" s="2" t="str">
        <f aca="false">IF(AY25="N/A","N/A",AY25-AX25)</f>
        <v>N/A</v>
      </c>
    </row>
    <row r="26" customFormat="false" ht="15" hidden="false" customHeight="false" outlineLevel="0" collapsed="false">
      <c r="A26" s="2" t="s">
        <v>648</v>
      </c>
      <c r="B26" s="2" t="s">
        <v>649</v>
      </c>
      <c r="C26" s="2" t="s">
        <v>650</v>
      </c>
      <c r="D26" s="2" t="s">
        <v>651</v>
      </c>
      <c r="E26" s="2" t="s">
        <v>652</v>
      </c>
      <c r="F26" s="2" t="s">
        <v>150</v>
      </c>
      <c r="G26" s="2" t="n">
        <v>64</v>
      </c>
      <c r="H26" s="3" t="n">
        <v>22457</v>
      </c>
      <c r="I26" s="2" t="s">
        <v>526</v>
      </c>
      <c r="J26" s="2" t="s">
        <v>527</v>
      </c>
      <c r="K26" s="2" t="s">
        <v>527</v>
      </c>
      <c r="L26" s="2" t="s">
        <v>528</v>
      </c>
      <c r="M26" s="2" t="s">
        <v>653</v>
      </c>
      <c r="N26" s="3" t="n">
        <v>44599</v>
      </c>
      <c r="O26" s="2" t="s">
        <v>155</v>
      </c>
      <c r="P26" s="2" t="n">
        <v>419</v>
      </c>
      <c r="Q26" s="2" t="s">
        <v>654</v>
      </c>
      <c r="R26" s="2" t="s">
        <v>113</v>
      </c>
      <c r="S26" s="2" t="s">
        <v>114</v>
      </c>
      <c r="T26" s="2" t="s">
        <v>191</v>
      </c>
      <c r="U26" s="2" t="s">
        <v>271</v>
      </c>
      <c r="V26" s="2" t="s">
        <v>117</v>
      </c>
      <c r="W26" s="2" t="s">
        <v>118</v>
      </c>
      <c r="X26" s="2" t="s">
        <v>655</v>
      </c>
      <c r="Y26" s="3" t="n">
        <v>45875</v>
      </c>
      <c r="Z26" s="2" t="s">
        <v>656</v>
      </c>
      <c r="AA26" s="2" t="s">
        <v>242</v>
      </c>
      <c r="AB26" s="2" t="s">
        <v>122</v>
      </c>
      <c r="AC26" s="2" t="s">
        <v>657</v>
      </c>
      <c r="AD26" s="2" t="s">
        <v>588</v>
      </c>
      <c r="AE26" s="2" t="s">
        <v>125</v>
      </c>
      <c r="AF26" s="2" t="s">
        <v>196</v>
      </c>
      <c r="AG26" s="2" t="s">
        <v>197</v>
      </c>
      <c r="AH26" s="2" t="n">
        <v>3</v>
      </c>
      <c r="AI26" s="4" t="n">
        <v>18.44</v>
      </c>
      <c r="AJ26" s="5" t="n">
        <v>0.25</v>
      </c>
      <c r="AK26" s="5" t="n">
        <v>0.08</v>
      </c>
      <c r="AL26" s="4" t="n">
        <v>12.68</v>
      </c>
      <c r="AM26" s="2" t="s">
        <v>247</v>
      </c>
      <c r="AN26" s="2" t="s">
        <v>129</v>
      </c>
      <c r="AO26" s="2" t="s">
        <v>130</v>
      </c>
      <c r="AP26" s="4" t="n">
        <v>6.45</v>
      </c>
      <c r="AQ26" s="2" t="s">
        <v>658</v>
      </c>
      <c r="AR26" s="2" t="s">
        <v>659</v>
      </c>
      <c r="AS26" s="2" t="s">
        <v>527</v>
      </c>
      <c r="AT26" s="2" t="s">
        <v>526</v>
      </c>
      <c r="AU26" s="2" t="s">
        <v>350</v>
      </c>
      <c r="AV26" s="2" t="s">
        <v>351</v>
      </c>
      <c r="AW26" s="2" t="s">
        <v>660</v>
      </c>
      <c r="AX26" s="3" t="n">
        <v>45885</v>
      </c>
      <c r="AY26" s="2" t="s">
        <v>113</v>
      </c>
      <c r="AZ26" s="2" t="s">
        <v>203</v>
      </c>
      <c r="BA26" s="2" t="s">
        <v>118</v>
      </c>
      <c r="BB26" s="2" t="s">
        <v>113</v>
      </c>
      <c r="BC26" s="2" t="s">
        <v>113</v>
      </c>
      <c r="BD26" s="2" t="s">
        <v>118</v>
      </c>
      <c r="BE26" s="2" t="s">
        <v>113</v>
      </c>
      <c r="BF26" s="2" t="s">
        <v>440</v>
      </c>
      <c r="BG26" s="2" t="s">
        <v>594</v>
      </c>
      <c r="BH26" s="2" t="s">
        <v>661</v>
      </c>
      <c r="BI26" s="4" t="n">
        <v>293.93</v>
      </c>
      <c r="BJ26" s="2" t="n">
        <v>3993</v>
      </c>
      <c r="BK26" s="2" t="n">
        <v>136</v>
      </c>
      <c r="BL26" s="2" t="s">
        <v>113</v>
      </c>
      <c r="BM26" s="2" t="s">
        <v>118</v>
      </c>
      <c r="BN26" s="2" t="s">
        <v>304</v>
      </c>
      <c r="BO26" s="2" t="s">
        <v>142</v>
      </c>
      <c r="BP26" s="2" t="s">
        <v>328</v>
      </c>
      <c r="BQ26" s="2" t="n">
        <v>31.1</v>
      </c>
      <c r="BR26" s="2" t="n">
        <v>2</v>
      </c>
      <c r="BS26" s="2" t="s">
        <v>118</v>
      </c>
      <c r="BT26" s="2" t="n">
        <v>8</v>
      </c>
      <c r="BU26" s="2" t="n">
        <v>29</v>
      </c>
      <c r="BV26" s="2" t="n">
        <v>51</v>
      </c>
      <c r="BW26" s="3" t="n">
        <v>46022</v>
      </c>
      <c r="BX26" s="2" t="n">
        <v>5</v>
      </c>
      <c r="BY26" s="2" t="n">
        <v>58</v>
      </c>
      <c r="BZ26" s="2" t="s">
        <v>118</v>
      </c>
      <c r="CA26" s="2" t="n">
        <v>-7</v>
      </c>
      <c r="CB26" s="2" t="n">
        <v>3</v>
      </c>
      <c r="CC26" s="2" t="n">
        <v>1</v>
      </c>
      <c r="CD26" s="2" t="n">
        <v>43.6</v>
      </c>
      <c r="CE26" s="4" t="n">
        <v>6050.74</v>
      </c>
      <c r="CF26" s="5" t="n">
        <v>4</v>
      </c>
      <c r="CG26" s="2" t="n">
        <v>339</v>
      </c>
      <c r="CH26" s="2" t="s">
        <v>144</v>
      </c>
      <c r="CI26" s="2" t="s">
        <v>117</v>
      </c>
      <c r="CJ26" s="2" t="n">
        <v>8</v>
      </c>
      <c r="CK26" s="2" t="n">
        <v>80</v>
      </c>
      <c r="CL26" s="4" t="n">
        <v>469.27</v>
      </c>
      <c r="CM26" s="2" t="n">
        <v>194</v>
      </c>
      <c r="CN26" s="2" t="s">
        <v>117</v>
      </c>
      <c r="CO26" s="4" t="n">
        <f aca="false">AH26*AI26</f>
        <v>55.32</v>
      </c>
      <c r="CP26" s="4" t="n">
        <f aca="false">CO26*AJ26</f>
        <v>13.83</v>
      </c>
      <c r="CQ26" s="4" t="n">
        <f aca="false">(CO26-CP26)*AK26</f>
        <v>3.3192</v>
      </c>
      <c r="CR26" s="4" t="n">
        <f aca="false">CO26-CP26+CQ26+AL26</f>
        <v>57.4892</v>
      </c>
      <c r="CS26" s="4" t="n">
        <f aca="false">CR26-(AP26*AH26)-AL26</f>
        <v>25.4592</v>
      </c>
      <c r="CT26" s="5" t="n">
        <f aca="false">IFERROR(CS26/CR26,0)</f>
        <v>0.442851874786917</v>
      </c>
      <c r="CU26" s="6" t="n">
        <f aca="false">IFERROR(BK26/BJ26,0)</f>
        <v>0.0340596043075382</v>
      </c>
      <c r="CV26" s="2" t="str">
        <f aca="false">IF(AY26="N/A","N/A",AY26-AX26)</f>
        <v>N/A</v>
      </c>
    </row>
    <row r="27" customFormat="false" ht="15" hidden="false" customHeight="false" outlineLevel="0" collapsed="false">
      <c r="A27" s="2" t="s">
        <v>662</v>
      </c>
      <c r="B27" s="2" t="s">
        <v>663</v>
      </c>
      <c r="C27" s="2" t="s">
        <v>664</v>
      </c>
      <c r="D27" s="2" t="s">
        <v>665</v>
      </c>
      <c r="E27" s="2" t="s">
        <v>666</v>
      </c>
      <c r="F27" s="2" t="s">
        <v>105</v>
      </c>
      <c r="G27" s="2" t="n">
        <v>54</v>
      </c>
      <c r="H27" s="3" t="n">
        <v>26271</v>
      </c>
      <c r="I27" s="2" t="s">
        <v>599</v>
      </c>
      <c r="J27" s="2" t="s">
        <v>667</v>
      </c>
      <c r="K27" s="2" t="s">
        <v>668</v>
      </c>
      <c r="L27" s="2" t="s">
        <v>669</v>
      </c>
      <c r="M27" s="2" t="s">
        <v>670</v>
      </c>
      <c r="N27" s="3" t="n">
        <v>43178</v>
      </c>
      <c r="O27" s="2" t="s">
        <v>311</v>
      </c>
      <c r="P27" s="2" t="n">
        <v>3430</v>
      </c>
      <c r="Q27" s="2" t="s">
        <v>671</v>
      </c>
      <c r="R27" s="2" t="s">
        <v>113</v>
      </c>
      <c r="S27" s="2" t="s">
        <v>114</v>
      </c>
      <c r="T27" s="2" t="s">
        <v>157</v>
      </c>
      <c r="U27" s="2" t="s">
        <v>158</v>
      </c>
      <c r="V27" s="2" t="s">
        <v>117</v>
      </c>
      <c r="W27" s="2" t="s">
        <v>117</v>
      </c>
      <c r="X27" s="2" t="s">
        <v>672</v>
      </c>
      <c r="Y27" s="3" t="n">
        <v>45447</v>
      </c>
      <c r="Z27" s="2" t="s">
        <v>673</v>
      </c>
      <c r="AA27" s="2" t="s">
        <v>414</v>
      </c>
      <c r="AB27" s="2" t="s">
        <v>342</v>
      </c>
      <c r="AC27" s="2" t="s">
        <v>674</v>
      </c>
      <c r="AD27" s="2" t="s">
        <v>675</v>
      </c>
      <c r="AE27" s="2" t="s">
        <v>295</v>
      </c>
      <c r="AF27" s="2" t="s">
        <v>296</v>
      </c>
      <c r="AG27" s="2" t="s">
        <v>497</v>
      </c>
      <c r="AH27" s="2" t="n">
        <v>5</v>
      </c>
      <c r="AI27" s="4" t="n">
        <v>83.24</v>
      </c>
      <c r="AJ27" s="5" t="n">
        <v>0</v>
      </c>
      <c r="AK27" s="5" t="n">
        <v>0.08</v>
      </c>
      <c r="AL27" s="4" t="n">
        <v>14.01</v>
      </c>
      <c r="AM27" s="2" t="s">
        <v>128</v>
      </c>
      <c r="AN27" s="2" t="s">
        <v>129</v>
      </c>
      <c r="AO27" s="2" t="s">
        <v>169</v>
      </c>
      <c r="AP27" s="4" t="n">
        <v>33.3</v>
      </c>
      <c r="AQ27" s="2" t="s">
        <v>676</v>
      </c>
      <c r="AR27" s="2" t="s">
        <v>677</v>
      </c>
      <c r="AS27" s="2" t="s">
        <v>668</v>
      </c>
      <c r="AT27" s="2" t="s">
        <v>599</v>
      </c>
      <c r="AU27" s="2" t="s">
        <v>350</v>
      </c>
      <c r="AV27" s="2" t="s">
        <v>201</v>
      </c>
      <c r="AW27" s="2" t="s">
        <v>678</v>
      </c>
      <c r="AX27" s="3" t="n">
        <v>45451</v>
      </c>
      <c r="AY27" s="2" t="s">
        <v>113</v>
      </c>
      <c r="AZ27" s="2" t="s">
        <v>203</v>
      </c>
      <c r="BA27" s="2" t="s">
        <v>118</v>
      </c>
      <c r="BB27" s="2" t="s">
        <v>113</v>
      </c>
      <c r="BC27" s="2" t="s">
        <v>113</v>
      </c>
      <c r="BD27" s="2" t="s">
        <v>118</v>
      </c>
      <c r="BE27" s="2" t="s">
        <v>113</v>
      </c>
      <c r="BF27" s="2" t="s">
        <v>280</v>
      </c>
      <c r="BG27" s="2" t="s">
        <v>679</v>
      </c>
      <c r="BH27" s="2" t="s">
        <v>680</v>
      </c>
      <c r="BI27" s="4" t="n">
        <v>25.82</v>
      </c>
      <c r="BJ27" s="2" t="n">
        <v>15775</v>
      </c>
      <c r="BK27" s="2" t="n">
        <v>2157</v>
      </c>
      <c r="BL27" s="2" t="s">
        <v>113</v>
      </c>
      <c r="BM27" s="2" t="s">
        <v>117</v>
      </c>
      <c r="BN27" s="2" t="s">
        <v>304</v>
      </c>
      <c r="BO27" s="2" t="s">
        <v>207</v>
      </c>
      <c r="BP27" s="2" t="s">
        <v>328</v>
      </c>
      <c r="BQ27" s="2" t="n">
        <v>41.6</v>
      </c>
      <c r="BR27" s="2" t="n">
        <v>17</v>
      </c>
      <c r="BS27" s="2" t="s">
        <v>118</v>
      </c>
      <c r="BT27" s="2" t="n">
        <v>6</v>
      </c>
      <c r="BU27" s="2" t="n">
        <v>6.9</v>
      </c>
      <c r="BV27" s="2" t="n">
        <v>35</v>
      </c>
      <c r="BW27" s="3" t="n">
        <v>45724</v>
      </c>
      <c r="BX27" s="2" t="n">
        <v>5</v>
      </c>
      <c r="BY27" s="2" t="n">
        <v>143</v>
      </c>
      <c r="BZ27" s="2" t="s">
        <v>118</v>
      </c>
      <c r="CA27" s="2" t="n">
        <v>-13</v>
      </c>
      <c r="CB27" s="2" t="n">
        <v>9</v>
      </c>
      <c r="CC27" s="2" t="n">
        <v>2</v>
      </c>
      <c r="CD27" s="2" t="n">
        <v>48.8</v>
      </c>
      <c r="CE27" s="4" t="n">
        <v>13021.43</v>
      </c>
      <c r="CF27" s="5" t="n">
        <v>68.1</v>
      </c>
      <c r="CG27" s="2" t="n">
        <v>570</v>
      </c>
      <c r="CH27" s="2" t="s">
        <v>283</v>
      </c>
      <c r="CI27" s="2" t="s">
        <v>117</v>
      </c>
      <c r="CJ27" s="2" t="n">
        <v>9</v>
      </c>
      <c r="CK27" s="2" t="n">
        <v>31</v>
      </c>
      <c r="CL27" s="4" t="n">
        <v>160.63</v>
      </c>
      <c r="CM27" s="2" t="n">
        <v>342</v>
      </c>
      <c r="CN27" s="2" t="s">
        <v>118</v>
      </c>
      <c r="CO27" s="4" t="n">
        <f aca="false">AH27*AI27</f>
        <v>416.2</v>
      </c>
      <c r="CP27" s="4" t="n">
        <f aca="false">CO27*AJ27</f>
        <v>0</v>
      </c>
      <c r="CQ27" s="4" t="n">
        <f aca="false">(CO27-CP27)*AK27</f>
        <v>33.296</v>
      </c>
      <c r="CR27" s="4" t="n">
        <f aca="false">CO27-CP27+CQ27+AL27</f>
        <v>463.506</v>
      </c>
      <c r="CS27" s="4" t="n">
        <f aca="false">CR27-(AP27*AH27)-AL27</f>
        <v>282.996</v>
      </c>
      <c r="CT27" s="5" t="n">
        <f aca="false">IFERROR(CS27/CR27,0)</f>
        <v>0.610555203168891</v>
      </c>
      <c r="CU27" s="6" t="n">
        <f aca="false">IFERROR(BK27/BJ27,0)</f>
        <v>0.136735340729002</v>
      </c>
      <c r="CV27" s="2" t="str">
        <f aca="false">IF(AY27="N/A","N/A",AY27-AX27)</f>
        <v>N/A</v>
      </c>
    </row>
    <row r="28" customFormat="false" ht="15" hidden="false" customHeight="false" outlineLevel="0" collapsed="false">
      <c r="A28" s="2" t="s">
        <v>681</v>
      </c>
      <c r="B28" s="2" t="s">
        <v>682</v>
      </c>
      <c r="C28" s="2" t="s">
        <v>683</v>
      </c>
      <c r="D28" s="2" t="s">
        <v>684</v>
      </c>
      <c r="E28" s="2" t="s">
        <v>685</v>
      </c>
      <c r="F28" s="2" t="s">
        <v>105</v>
      </c>
      <c r="G28" s="2" t="n">
        <v>21</v>
      </c>
      <c r="H28" s="3" t="n">
        <v>38031</v>
      </c>
      <c r="I28" s="2" t="s">
        <v>487</v>
      </c>
      <c r="J28" s="2" t="s">
        <v>546</v>
      </c>
      <c r="K28" s="2" t="s">
        <v>547</v>
      </c>
      <c r="L28" s="2" t="s">
        <v>548</v>
      </c>
      <c r="M28" s="2" t="s">
        <v>686</v>
      </c>
      <c r="N28" s="3" t="n">
        <v>45035</v>
      </c>
      <c r="O28" s="2" t="s">
        <v>155</v>
      </c>
      <c r="P28" s="2" t="n">
        <v>1126</v>
      </c>
      <c r="Q28" s="2" t="s">
        <v>687</v>
      </c>
      <c r="R28" s="2" t="s">
        <v>113</v>
      </c>
      <c r="S28" s="2" t="s">
        <v>114</v>
      </c>
      <c r="T28" s="2" t="s">
        <v>551</v>
      </c>
      <c r="U28" s="2" t="s">
        <v>130</v>
      </c>
      <c r="V28" s="2" t="s">
        <v>117</v>
      </c>
      <c r="W28" s="2" t="s">
        <v>117</v>
      </c>
      <c r="X28" s="2" t="s">
        <v>688</v>
      </c>
      <c r="Y28" s="3" t="n">
        <v>45297</v>
      </c>
      <c r="Z28" s="2" t="s">
        <v>689</v>
      </c>
      <c r="AA28" s="2" t="s">
        <v>414</v>
      </c>
      <c r="AB28" s="2" t="s">
        <v>342</v>
      </c>
      <c r="AC28" s="2" t="s">
        <v>690</v>
      </c>
      <c r="AD28" s="2" t="s">
        <v>195</v>
      </c>
      <c r="AE28" s="2" t="s">
        <v>125</v>
      </c>
      <c r="AF28" s="2" t="s">
        <v>196</v>
      </c>
      <c r="AG28" s="2" t="s">
        <v>474</v>
      </c>
      <c r="AH28" s="2" t="n">
        <v>4</v>
      </c>
      <c r="AI28" s="4" t="n">
        <v>100.38</v>
      </c>
      <c r="AJ28" s="5" t="n">
        <v>0.1</v>
      </c>
      <c r="AK28" s="5" t="n">
        <v>0.08</v>
      </c>
      <c r="AL28" s="4" t="n">
        <v>4.82</v>
      </c>
      <c r="AM28" s="2" t="s">
        <v>221</v>
      </c>
      <c r="AN28" s="2" t="s">
        <v>129</v>
      </c>
      <c r="AO28" s="2" t="s">
        <v>130</v>
      </c>
      <c r="AP28" s="4" t="n">
        <v>35.13</v>
      </c>
      <c r="AQ28" s="2" t="s">
        <v>691</v>
      </c>
      <c r="AR28" s="2" t="s">
        <v>692</v>
      </c>
      <c r="AS28" s="2" t="s">
        <v>547</v>
      </c>
      <c r="AT28" s="2" t="s">
        <v>487</v>
      </c>
      <c r="AU28" s="2" t="s">
        <v>251</v>
      </c>
      <c r="AV28" s="2" t="s">
        <v>351</v>
      </c>
      <c r="AW28" s="2" t="s">
        <v>693</v>
      </c>
      <c r="AX28" s="3" t="n">
        <v>45304</v>
      </c>
      <c r="AY28" s="2" t="s">
        <v>113</v>
      </c>
      <c r="AZ28" s="2" t="s">
        <v>203</v>
      </c>
      <c r="BA28" s="2" t="s">
        <v>118</v>
      </c>
      <c r="BB28" s="2" t="s">
        <v>113</v>
      </c>
      <c r="BC28" s="2" t="s">
        <v>113</v>
      </c>
      <c r="BD28" s="2" t="s">
        <v>118</v>
      </c>
      <c r="BE28" s="2" t="s">
        <v>113</v>
      </c>
      <c r="BF28" s="2" t="s">
        <v>204</v>
      </c>
      <c r="BG28" s="2" t="s">
        <v>694</v>
      </c>
      <c r="BH28" s="2" t="s">
        <v>695</v>
      </c>
      <c r="BI28" s="4" t="n">
        <v>91.87</v>
      </c>
      <c r="BJ28" s="2" t="n">
        <v>3031</v>
      </c>
      <c r="BK28" s="2" t="n">
        <v>338</v>
      </c>
      <c r="BL28" s="2" t="s">
        <v>113</v>
      </c>
      <c r="BM28" s="2" t="s">
        <v>118</v>
      </c>
      <c r="BN28" s="2" t="s">
        <v>141</v>
      </c>
      <c r="BO28" s="2" t="s">
        <v>178</v>
      </c>
      <c r="BP28" s="2" t="s">
        <v>328</v>
      </c>
      <c r="BQ28" s="2" t="n">
        <v>37.3</v>
      </c>
      <c r="BR28" s="2" t="n">
        <v>33</v>
      </c>
      <c r="BS28" s="2" t="s">
        <v>118</v>
      </c>
      <c r="BT28" s="2" t="n">
        <v>12</v>
      </c>
      <c r="BU28" s="2" t="n">
        <v>20.4</v>
      </c>
      <c r="BV28" s="2" t="n">
        <v>12</v>
      </c>
      <c r="BW28" s="3" t="n">
        <v>45440</v>
      </c>
      <c r="BX28" s="2" t="n">
        <v>4</v>
      </c>
      <c r="BY28" s="2" t="n">
        <v>122</v>
      </c>
      <c r="BZ28" s="2" t="s">
        <v>117</v>
      </c>
      <c r="CA28" s="2" t="n">
        <v>-55</v>
      </c>
      <c r="CB28" s="2" t="n">
        <v>1</v>
      </c>
      <c r="CC28" s="2" t="n">
        <v>3</v>
      </c>
      <c r="CD28" s="2" t="n">
        <v>56.8</v>
      </c>
      <c r="CE28" s="4" t="n">
        <v>2835.36</v>
      </c>
      <c r="CF28" s="5" t="n">
        <v>74.9</v>
      </c>
      <c r="CG28" s="2" t="n">
        <v>596</v>
      </c>
      <c r="CH28" s="2" t="s">
        <v>283</v>
      </c>
      <c r="CI28" s="2" t="s">
        <v>117</v>
      </c>
      <c r="CJ28" s="2" t="n">
        <v>6</v>
      </c>
      <c r="CK28" s="2" t="n">
        <v>31</v>
      </c>
      <c r="CL28" s="4" t="n">
        <v>279.11</v>
      </c>
      <c r="CM28" s="2" t="n">
        <v>136</v>
      </c>
      <c r="CN28" s="2" t="s">
        <v>118</v>
      </c>
      <c r="CO28" s="4" t="n">
        <f aca="false">AH28*AI28</f>
        <v>401.52</v>
      </c>
      <c r="CP28" s="4" t="n">
        <f aca="false">CO28*AJ28</f>
        <v>40.152</v>
      </c>
      <c r="CQ28" s="4" t="n">
        <f aca="false">(CO28-CP28)*AK28</f>
        <v>28.90944</v>
      </c>
      <c r="CR28" s="4" t="n">
        <f aca="false">CO28-CP28+CQ28+AL28</f>
        <v>395.09744</v>
      </c>
      <c r="CS28" s="4" t="n">
        <f aca="false">CR28-(AP28*AH28)-AL28</f>
        <v>249.75744</v>
      </c>
      <c r="CT28" s="5" t="n">
        <f aca="false">IFERROR(CS28/CR28,0)</f>
        <v>0.632141377580174</v>
      </c>
      <c r="CU28" s="6" t="n">
        <f aca="false">IFERROR(BK28/BJ28,0)</f>
        <v>0.111514351699109</v>
      </c>
      <c r="CV28" s="2" t="str">
        <f aca="false">IF(AY28="N/A","N/A",AY28-AX28)</f>
        <v>N/A</v>
      </c>
    </row>
    <row r="29" customFormat="false" ht="15" hidden="false" customHeight="false" outlineLevel="0" collapsed="false">
      <c r="A29" s="2" t="s">
        <v>696</v>
      </c>
      <c r="B29" s="2" t="s">
        <v>464</v>
      </c>
      <c r="C29" s="2" t="s">
        <v>697</v>
      </c>
      <c r="D29" s="2" t="s">
        <v>698</v>
      </c>
      <c r="E29" s="2" t="s">
        <v>699</v>
      </c>
      <c r="F29" s="2" t="s">
        <v>184</v>
      </c>
      <c r="G29" s="2" t="n">
        <v>54</v>
      </c>
      <c r="H29" s="3" t="n">
        <v>25942</v>
      </c>
      <c r="I29" s="2" t="s">
        <v>526</v>
      </c>
      <c r="J29" s="2" t="s">
        <v>700</v>
      </c>
      <c r="K29" s="2" t="s">
        <v>701</v>
      </c>
      <c r="L29" s="2" t="s">
        <v>702</v>
      </c>
      <c r="M29" s="2" t="s">
        <v>703</v>
      </c>
      <c r="N29" s="3" t="n">
        <v>44068</v>
      </c>
      <c r="O29" s="2" t="s">
        <v>155</v>
      </c>
      <c r="P29" s="2" t="n">
        <v>968</v>
      </c>
      <c r="Q29" s="2" t="s">
        <v>704</v>
      </c>
      <c r="R29" s="2" t="s">
        <v>705</v>
      </c>
      <c r="S29" s="2" t="s">
        <v>190</v>
      </c>
      <c r="T29" s="2" t="s">
        <v>365</v>
      </c>
      <c r="U29" s="2" t="s">
        <v>222</v>
      </c>
      <c r="V29" s="2" t="s">
        <v>117</v>
      </c>
      <c r="W29" s="2" t="s">
        <v>117</v>
      </c>
      <c r="X29" s="2" t="s">
        <v>706</v>
      </c>
      <c r="Y29" s="3" t="n">
        <v>45768</v>
      </c>
      <c r="Z29" s="2" t="s">
        <v>707</v>
      </c>
      <c r="AA29" s="2" t="s">
        <v>161</v>
      </c>
      <c r="AB29" s="2" t="s">
        <v>218</v>
      </c>
      <c r="AC29" s="2" t="s">
        <v>708</v>
      </c>
      <c r="AD29" s="2" t="s">
        <v>709</v>
      </c>
      <c r="AE29" s="2" t="s">
        <v>317</v>
      </c>
      <c r="AF29" s="2" t="s">
        <v>371</v>
      </c>
      <c r="AG29" s="2" t="s">
        <v>610</v>
      </c>
      <c r="AH29" s="2" t="n">
        <v>3</v>
      </c>
      <c r="AI29" s="4" t="n">
        <v>453.33</v>
      </c>
      <c r="AJ29" s="5" t="n">
        <v>0.1</v>
      </c>
      <c r="AK29" s="5" t="n">
        <v>0.08</v>
      </c>
      <c r="AL29" s="4" t="n">
        <v>2.27</v>
      </c>
      <c r="AM29" s="2" t="s">
        <v>247</v>
      </c>
      <c r="AN29" s="2" t="s">
        <v>129</v>
      </c>
      <c r="AO29" s="2" t="s">
        <v>169</v>
      </c>
      <c r="AP29" s="4" t="n">
        <v>226.66</v>
      </c>
      <c r="AQ29" s="2" t="s">
        <v>710</v>
      </c>
      <c r="AR29" s="2" t="s">
        <v>711</v>
      </c>
      <c r="AS29" s="2" t="s">
        <v>701</v>
      </c>
      <c r="AT29" s="2" t="s">
        <v>526</v>
      </c>
      <c r="AU29" s="2" t="s">
        <v>172</v>
      </c>
      <c r="AV29" s="2" t="s">
        <v>201</v>
      </c>
      <c r="AW29" s="2" t="s">
        <v>712</v>
      </c>
      <c r="AX29" s="3" t="n">
        <v>45775</v>
      </c>
      <c r="AY29" s="3" t="n">
        <v>45776</v>
      </c>
      <c r="AZ29" s="2" t="s">
        <v>301</v>
      </c>
      <c r="BA29" s="2" t="s">
        <v>118</v>
      </c>
      <c r="BB29" s="2" t="s">
        <v>113</v>
      </c>
      <c r="BC29" s="2" t="s">
        <v>113</v>
      </c>
      <c r="BD29" s="2" t="s">
        <v>118</v>
      </c>
      <c r="BE29" s="2" t="s">
        <v>113</v>
      </c>
      <c r="BF29" s="2" t="s">
        <v>353</v>
      </c>
      <c r="BG29" s="2" t="s">
        <v>713</v>
      </c>
      <c r="BH29" s="2" t="s">
        <v>714</v>
      </c>
      <c r="BI29" s="4" t="n">
        <v>338.02</v>
      </c>
      <c r="BJ29" s="2" t="n">
        <v>5119</v>
      </c>
      <c r="BK29" s="2" t="n">
        <v>470</v>
      </c>
      <c r="BL29" s="2" t="s">
        <v>715</v>
      </c>
      <c r="BM29" s="2" t="s">
        <v>118</v>
      </c>
      <c r="BN29" s="2" t="s">
        <v>304</v>
      </c>
      <c r="BO29" s="2" t="s">
        <v>229</v>
      </c>
      <c r="BP29" s="2" t="s">
        <v>328</v>
      </c>
      <c r="BQ29" s="2" t="n">
        <v>36.8</v>
      </c>
      <c r="BR29" s="2" t="n">
        <v>14</v>
      </c>
      <c r="BS29" s="2" t="s">
        <v>118</v>
      </c>
      <c r="BT29" s="2" t="n">
        <v>1</v>
      </c>
      <c r="BU29" s="2" t="n">
        <v>13.3</v>
      </c>
      <c r="BV29" s="2" t="n">
        <v>45</v>
      </c>
      <c r="BW29" s="3" t="n">
        <v>45784</v>
      </c>
      <c r="BX29" s="2" t="n">
        <v>5</v>
      </c>
      <c r="BY29" s="2" t="n">
        <v>138</v>
      </c>
      <c r="BZ29" s="2" t="s">
        <v>118</v>
      </c>
      <c r="CA29" s="2" t="n">
        <v>70</v>
      </c>
      <c r="CB29" s="2" t="n">
        <v>4</v>
      </c>
      <c r="CC29" s="2" t="n">
        <v>1</v>
      </c>
      <c r="CD29" s="2" t="n">
        <v>49.1</v>
      </c>
      <c r="CE29" s="4" t="n">
        <v>8957.43</v>
      </c>
      <c r="CF29" s="5" t="n">
        <v>78.7</v>
      </c>
      <c r="CG29" s="2" t="n">
        <v>838</v>
      </c>
      <c r="CH29" s="2" t="s">
        <v>283</v>
      </c>
      <c r="CI29" s="2" t="s">
        <v>118</v>
      </c>
      <c r="CJ29" s="2" t="n">
        <v>7</v>
      </c>
      <c r="CK29" s="2" t="n">
        <v>5</v>
      </c>
      <c r="CL29" s="4" t="n">
        <v>186.51</v>
      </c>
      <c r="CM29" s="2" t="n">
        <v>92</v>
      </c>
      <c r="CN29" s="2" t="s">
        <v>118</v>
      </c>
      <c r="CO29" s="4" t="n">
        <f aca="false">AH29*AI29</f>
        <v>1359.99</v>
      </c>
      <c r="CP29" s="4" t="n">
        <f aca="false">CO29*AJ29</f>
        <v>135.999</v>
      </c>
      <c r="CQ29" s="4" t="n">
        <f aca="false">(CO29-CP29)*AK29</f>
        <v>97.91928</v>
      </c>
      <c r="CR29" s="4" t="n">
        <f aca="false">CO29-CP29+CQ29+AL29</f>
        <v>1324.18028</v>
      </c>
      <c r="CS29" s="4" t="n">
        <f aca="false">CR29-(AP29*AH29)-AL29</f>
        <v>641.93028</v>
      </c>
      <c r="CT29" s="5" t="n">
        <f aca="false">IFERROR(CS29/CR29,0)</f>
        <v>0.484775592640603</v>
      </c>
      <c r="CU29" s="6" t="n">
        <f aca="false">IFERROR(BK29/BJ29,0)</f>
        <v>0.0918148075796054</v>
      </c>
      <c r="CV29" s="2" t="n">
        <f aca="false">IF(AY29="N/A","N/A",AY29-AX29)</f>
        <v>1</v>
      </c>
    </row>
    <row r="30" customFormat="false" ht="15" hidden="false" customHeight="false" outlineLevel="0" collapsed="false">
      <c r="A30" s="2" t="s">
        <v>716</v>
      </c>
      <c r="B30" s="2" t="s">
        <v>717</v>
      </c>
      <c r="C30" s="2" t="s">
        <v>718</v>
      </c>
      <c r="D30" s="2" t="s">
        <v>719</v>
      </c>
      <c r="E30" s="2" t="s">
        <v>720</v>
      </c>
      <c r="F30" s="2" t="s">
        <v>184</v>
      </c>
      <c r="G30" s="2" t="n">
        <v>59</v>
      </c>
      <c r="H30" s="3" t="n">
        <v>24300</v>
      </c>
      <c r="I30" s="2" t="s">
        <v>526</v>
      </c>
      <c r="J30" s="2" t="s">
        <v>527</v>
      </c>
      <c r="K30" s="2" t="s">
        <v>527</v>
      </c>
      <c r="L30" s="2" t="s">
        <v>528</v>
      </c>
      <c r="M30" s="2" t="s">
        <v>721</v>
      </c>
      <c r="N30" s="3" t="n">
        <v>44938</v>
      </c>
      <c r="O30" s="2" t="s">
        <v>111</v>
      </c>
      <c r="P30" s="2" t="n">
        <v>3092</v>
      </c>
      <c r="Q30" s="2" t="s">
        <v>214</v>
      </c>
      <c r="R30" s="2" t="s">
        <v>113</v>
      </c>
      <c r="S30" s="2" t="s">
        <v>190</v>
      </c>
      <c r="T30" s="2" t="s">
        <v>722</v>
      </c>
      <c r="U30" s="2" t="s">
        <v>271</v>
      </c>
      <c r="V30" s="2" t="s">
        <v>117</v>
      </c>
      <c r="W30" s="2" t="s">
        <v>117</v>
      </c>
      <c r="X30" s="2" t="s">
        <v>723</v>
      </c>
      <c r="Y30" s="3" t="n">
        <v>45676</v>
      </c>
      <c r="Z30" s="2" t="s">
        <v>724</v>
      </c>
      <c r="AA30" s="2" t="s">
        <v>121</v>
      </c>
      <c r="AB30" s="2" t="s">
        <v>162</v>
      </c>
      <c r="AC30" s="2" t="s">
        <v>725</v>
      </c>
      <c r="AD30" s="2" t="s">
        <v>726</v>
      </c>
      <c r="AE30" s="2" t="s">
        <v>345</v>
      </c>
      <c r="AF30" s="2" t="s">
        <v>417</v>
      </c>
      <c r="AG30" s="2" t="s">
        <v>727</v>
      </c>
      <c r="AH30" s="2" t="n">
        <v>1</v>
      </c>
      <c r="AI30" s="4" t="n">
        <v>345.9</v>
      </c>
      <c r="AJ30" s="5" t="n">
        <v>0.2</v>
      </c>
      <c r="AK30" s="5" t="n">
        <v>0.08</v>
      </c>
      <c r="AL30" s="4" t="n">
        <v>18.51</v>
      </c>
      <c r="AM30" s="2" t="s">
        <v>198</v>
      </c>
      <c r="AN30" s="2" t="s">
        <v>129</v>
      </c>
      <c r="AO30" s="2" t="s">
        <v>222</v>
      </c>
      <c r="AP30" s="4" t="n">
        <v>207.54</v>
      </c>
      <c r="AQ30" s="2" t="s">
        <v>728</v>
      </c>
      <c r="AR30" s="2" t="s">
        <v>729</v>
      </c>
      <c r="AS30" s="2" t="s">
        <v>527</v>
      </c>
      <c r="AT30" s="2" t="s">
        <v>526</v>
      </c>
      <c r="AU30" s="2" t="s">
        <v>251</v>
      </c>
      <c r="AV30" s="2" t="s">
        <v>173</v>
      </c>
      <c r="AW30" s="2" t="s">
        <v>730</v>
      </c>
      <c r="AX30" s="3" t="n">
        <v>45686</v>
      </c>
      <c r="AY30" s="2" t="s">
        <v>113</v>
      </c>
      <c r="AZ30" s="2" t="s">
        <v>175</v>
      </c>
      <c r="BA30" s="2" t="s">
        <v>118</v>
      </c>
      <c r="BB30" s="2" t="s">
        <v>113</v>
      </c>
      <c r="BC30" s="2" t="s">
        <v>113</v>
      </c>
      <c r="BD30" s="2" t="s">
        <v>118</v>
      </c>
      <c r="BE30" s="2" t="s">
        <v>113</v>
      </c>
      <c r="BF30" s="2" t="s">
        <v>324</v>
      </c>
      <c r="BG30" s="2" t="s">
        <v>731</v>
      </c>
      <c r="BH30" s="2" t="s">
        <v>732</v>
      </c>
      <c r="BI30" s="4" t="n">
        <v>290.85</v>
      </c>
      <c r="BJ30" s="2" t="n">
        <v>213</v>
      </c>
      <c r="BK30" s="2" t="n">
        <v>29</v>
      </c>
      <c r="BL30" s="2" t="s">
        <v>113</v>
      </c>
      <c r="BM30" s="2" t="s">
        <v>118</v>
      </c>
      <c r="BN30" s="2" t="s">
        <v>304</v>
      </c>
      <c r="BO30" s="2" t="s">
        <v>258</v>
      </c>
      <c r="BP30" s="2" t="s">
        <v>259</v>
      </c>
      <c r="BQ30" s="2" t="n">
        <v>11</v>
      </c>
      <c r="BR30" s="2" t="n">
        <v>10</v>
      </c>
      <c r="BS30" s="2" t="s">
        <v>118</v>
      </c>
      <c r="BT30" s="2" t="n">
        <v>16</v>
      </c>
      <c r="BU30" s="2" t="n">
        <v>7.4</v>
      </c>
      <c r="BV30" s="2" t="n">
        <v>20</v>
      </c>
      <c r="BW30" s="3" t="n">
        <v>45816</v>
      </c>
      <c r="BX30" s="2" t="n">
        <v>5</v>
      </c>
      <c r="BY30" s="2" t="n">
        <v>15</v>
      </c>
      <c r="BZ30" s="2" t="s">
        <v>118</v>
      </c>
      <c r="CA30" s="2" t="n">
        <v>8</v>
      </c>
      <c r="CB30" s="2" t="n">
        <v>9</v>
      </c>
      <c r="CC30" s="2" t="n">
        <v>3</v>
      </c>
      <c r="CD30" s="2" t="n">
        <v>59.4</v>
      </c>
      <c r="CE30" s="4" t="n">
        <v>3750.3</v>
      </c>
      <c r="CF30" s="5" t="n">
        <v>34.6</v>
      </c>
      <c r="CG30" s="2" t="n">
        <v>582</v>
      </c>
      <c r="CH30" s="2" t="s">
        <v>144</v>
      </c>
      <c r="CI30" s="2" t="s">
        <v>118</v>
      </c>
      <c r="CJ30" s="2" t="n">
        <v>2</v>
      </c>
      <c r="CK30" s="2" t="n">
        <v>55</v>
      </c>
      <c r="CL30" s="4" t="n">
        <v>342.39</v>
      </c>
      <c r="CM30" s="2" t="n">
        <v>24</v>
      </c>
      <c r="CN30" s="2" t="s">
        <v>118</v>
      </c>
      <c r="CO30" s="4" t="n">
        <f aca="false">AH30*AI30</f>
        <v>345.9</v>
      </c>
      <c r="CP30" s="4" t="n">
        <f aca="false">CO30*AJ30</f>
        <v>69.18</v>
      </c>
      <c r="CQ30" s="4" t="n">
        <f aca="false">(CO30-CP30)*AK30</f>
        <v>22.1376</v>
      </c>
      <c r="CR30" s="4" t="n">
        <f aca="false">CO30-CP30+CQ30+AL30</f>
        <v>317.3676</v>
      </c>
      <c r="CS30" s="4" t="n">
        <f aca="false">CR30-(AP30*AH30)-AL30</f>
        <v>91.3176</v>
      </c>
      <c r="CT30" s="5" t="n">
        <f aca="false">IFERROR(CS30/CR30,0)</f>
        <v>0.287734475730982</v>
      </c>
      <c r="CU30" s="6" t="n">
        <f aca="false">IFERROR(BK30/BJ30,0)</f>
        <v>0.136150234741784</v>
      </c>
      <c r="CV30" s="2" t="str">
        <f aca="false">IF(AY30="N/A","N/A",AY30-AX30)</f>
        <v>N/A</v>
      </c>
    </row>
    <row r="31" customFormat="false" ht="15" hidden="false" customHeight="false" outlineLevel="0" collapsed="false">
      <c r="A31" s="2" t="s">
        <v>733</v>
      </c>
      <c r="B31" s="2" t="s">
        <v>261</v>
      </c>
      <c r="C31" s="2" t="s">
        <v>734</v>
      </c>
      <c r="D31" s="2" t="s">
        <v>735</v>
      </c>
      <c r="E31" s="2" t="s">
        <v>736</v>
      </c>
      <c r="F31" s="2" t="s">
        <v>150</v>
      </c>
      <c r="G31" s="2" t="n">
        <v>68</v>
      </c>
      <c r="H31" s="3" t="n">
        <v>21074</v>
      </c>
      <c r="I31" s="2" t="s">
        <v>737</v>
      </c>
      <c r="J31" s="2" t="s">
        <v>738</v>
      </c>
      <c r="K31" s="2" t="s">
        <v>739</v>
      </c>
      <c r="L31" s="2" t="s">
        <v>740</v>
      </c>
      <c r="M31" s="2" t="s">
        <v>741</v>
      </c>
      <c r="N31" s="3" t="n">
        <v>44773</v>
      </c>
      <c r="O31" s="2" t="s">
        <v>155</v>
      </c>
      <c r="P31" s="2" t="n">
        <v>3083</v>
      </c>
      <c r="Q31" s="2" t="s">
        <v>742</v>
      </c>
      <c r="R31" s="2" t="s">
        <v>113</v>
      </c>
      <c r="S31" s="2" t="s">
        <v>114</v>
      </c>
      <c r="T31" s="2" t="s">
        <v>191</v>
      </c>
      <c r="U31" s="2" t="s">
        <v>130</v>
      </c>
      <c r="V31" s="2" t="s">
        <v>118</v>
      </c>
      <c r="W31" s="2" t="s">
        <v>117</v>
      </c>
      <c r="X31" s="2" t="s">
        <v>743</v>
      </c>
      <c r="Y31" s="3" t="n">
        <v>45480</v>
      </c>
      <c r="Z31" s="2" t="s">
        <v>744</v>
      </c>
      <c r="AA31" s="2" t="s">
        <v>414</v>
      </c>
      <c r="AB31" s="2" t="s">
        <v>122</v>
      </c>
      <c r="AC31" s="2" t="s">
        <v>745</v>
      </c>
      <c r="AD31" s="2" t="s">
        <v>746</v>
      </c>
      <c r="AE31" s="2" t="s">
        <v>625</v>
      </c>
      <c r="AF31" s="2" t="s">
        <v>747</v>
      </c>
      <c r="AG31" s="2" t="s">
        <v>748</v>
      </c>
      <c r="AH31" s="2" t="n">
        <v>2</v>
      </c>
      <c r="AI31" s="4" t="n">
        <v>59.73</v>
      </c>
      <c r="AJ31" s="5" t="n">
        <v>0</v>
      </c>
      <c r="AK31" s="5" t="n">
        <v>0.08</v>
      </c>
      <c r="AL31" s="4" t="n">
        <v>23.93</v>
      </c>
      <c r="AM31" s="2" t="s">
        <v>221</v>
      </c>
      <c r="AN31" s="2" t="s">
        <v>129</v>
      </c>
      <c r="AO31" s="2" t="s">
        <v>271</v>
      </c>
      <c r="AP31" s="4" t="n">
        <v>26.88</v>
      </c>
      <c r="AQ31" s="2" t="s">
        <v>749</v>
      </c>
      <c r="AR31" s="2" t="s">
        <v>750</v>
      </c>
      <c r="AS31" s="2" t="s">
        <v>739</v>
      </c>
      <c r="AT31" s="2" t="s">
        <v>737</v>
      </c>
      <c r="AU31" s="2" t="s">
        <v>350</v>
      </c>
      <c r="AV31" s="2" t="s">
        <v>134</v>
      </c>
      <c r="AW31" s="2" t="s">
        <v>751</v>
      </c>
      <c r="AX31" s="3" t="n">
        <v>45489</v>
      </c>
      <c r="AY31" s="2" t="s">
        <v>113</v>
      </c>
      <c r="AZ31" s="2" t="s">
        <v>175</v>
      </c>
      <c r="BA31" s="2" t="s">
        <v>118</v>
      </c>
      <c r="BB31" s="2" t="s">
        <v>113</v>
      </c>
      <c r="BC31" s="2" t="s">
        <v>113</v>
      </c>
      <c r="BD31" s="2" t="s">
        <v>118</v>
      </c>
      <c r="BE31" s="2" t="s">
        <v>113</v>
      </c>
      <c r="BF31" s="2" t="s">
        <v>226</v>
      </c>
      <c r="BG31" s="2" t="s">
        <v>302</v>
      </c>
      <c r="BH31" s="2" t="s">
        <v>752</v>
      </c>
      <c r="BI31" s="4" t="n">
        <v>278.28</v>
      </c>
      <c r="BJ31" s="2" t="n">
        <v>18361</v>
      </c>
      <c r="BK31" s="2" t="n">
        <v>2175</v>
      </c>
      <c r="BL31" s="2" t="s">
        <v>113</v>
      </c>
      <c r="BM31" s="2" t="s">
        <v>118</v>
      </c>
      <c r="BN31" s="2" t="s">
        <v>304</v>
      </c>
      <c r="BO31" s="2" t="s">
        <v>207</v>
      </c>
      <c r="BP31" s="2" t="s">
        <v>328</v>
      </c>
      <c r="BQ31" s="2" t="n">
        <v>24.2</v>
      </c>
      <c r="BR31" s="2" t="n">
        <v>23</v>
      </c>
      <c r="BS31" s="2" t="s">
        <v>118</v>
      </c>
      <c r="BT31" s="2" t="n">
        <v>11</v>
      </c>
      <c r="BU31" s="2" t="n">
        <v>15.9</v>
      </c>
      <c r="BV31" s="2" t="n">
        <v>32</v>
      </c>
      <c r="BW31" s="3" t="n">
        <v>45957</v>
      </c>
      <c r="BX31" s="2" t="n">
        <v>4</v>
      </c>
      <c r="BY31" s="2" t="n">
        <v>25</v>
      </c>
      <c r="BZ31" s="2" t="s">
        <v>118</v>
      </c>
      <c r="CA31" s="2" t="n">
        <v>65</v>
      </c>
      <c r="CB31" s="2" t="n">
        <v>2</v>
      </c>
      <c r="CC31" s="2" t="n">
        <v>3</v>
      </c>
      <c r="CD31" s="2" t="n">
        <v>61.1</v>
      </c>
      <c r="CE31" s="4" t="n">
        <v>1432.34</v>
      </c>
      <c r="CF31" s="5" t="n">
        <v>72.5</v>
      </c>
      <c r="CG31" s="2" t="n">
        <v>495</v>
      </c>
      <c r="CH31" s="2" t="s">
        <v>144</v>
      </c>
      <c r="CI31" s="2" t="s">
        <v>117</v>
      </c>
      <c r="CJ31" s="2" t="n">
        <v>5</v>
      </c>
      <c r="CK31" s="2" t="n">
        <v>27</v>
      </c>
      <c r="CL31" s="4" t="n">
        <v>235.01</v>
      </c>
      <c r="CM31" s="2" t="n">
        <v>211</v>
      </c>
      <c r="CN31" s="2" t="s">
        <v>117</v>
      </c>
      <c r="CO31" s="4" t="n">
        <f aca="false">AH31*AI31</f>
        <v>119.46</v>
      </c>
      <c r="CP31" s="4" t="n">
        <f aca="false">CO31*AJ31</f>
        <v>0</v>
      </c>
      <c r="CQ31" s="4" t="n">
        <f aca="false">(CO31-CP31)*AK31</f>
        <v>9.5568</v>
      </c>
      <c r="CR31" s="4" t="n">
        <f aca="false">CO31-CP31+CQ31+AL31</f>
        <v>152.9468</v>
      </c>
      <c r="CS31" s="4" t="n">
        <f aca="false">CR31-(AP31*AH31)-AL31</f>
        <v>75.2568</v>
      </c>
      <c r="CT31" s="5" t="n">
        <f aca="false">IFERROR(CS31/CR31,0)</f>
        <v>0.492045600169471</v>
      </c>
      <c r="CU31" s="6" t="n">
        <f aca="false">IFERROR(BK31/BJ31,0)</f>
        <v>0.118457600348565</v>
      </c>
      <c r="CV31" s="2" t="str">
        <f aca="false">IF(AY31="N/A","N/A",AY31-AX31)</f>
        <v>N/A</v>
      </c>
    </row>
    <row r="32" customFormat="false" ht="15" hidden="false" customHeight="false" outlineLevel="0" collapsed="false">
      <c r="A32" s="2" t="s">
        <v>753</v>
      </c>
      <c r="B32" s="2" t="s">
        <v>682</v>
      </c>
      <c r="C32" s="2" t="s">
        <v>754</v>
      </c>
      <c r="D32" s="2" t="s">
        <v>755</v>
      </c>
      <c r="E32" s="2" t="s">
        <v>756</v>
      </c>
      <c r="F32" s="2" t="s">
        <v>105</v>
      </c>
      <c r="G32" s="2" t="n">
        <v>19</v>
      </c>
      <c r="H32" s="3" t="n">
        <v>38855</v>
      </c>
      <c r="I32" s="2" t="s">
        <v>151</v>
      </c>
      <c r="J32" s="2" t="s">
        <v>152</v>
      </c>
      <c r="K32" s="2" t="s">
        <v>152</v>
      </c>
      <c r="L32" s="2" t="s">
        <v>153</v>
      </c>
      <c r="M32" s="2" t="s">
        <v>757</v>
      </c>
      <c r="N32" s="3" t="n">
        <v>45473</v>
      </c>
      <c r="O32" s="2" t="s">
        <v>111</v>
      </c>
      <c r="P32" s="2" t="n">
        <v>2418</v>
      </c>
      <c r="Q32" s="2" t="s">
        <v>758</v>
      </c>
      <c r="R32" s="2" t="s">
        <v>113</v>
      </c>
      <c r="S32" s="2" t="s">
        <v>114</v>
      </c>
      <c r="T32" s="2" t="s">
        <v>115</v>
      </c>
      <c r="U32" s="2" t="s">
        <v>271</v>
      </c>
      <c r="V32" s="2" t="s">
        <v>117</v>
      </c>
      <c r="W32" s="2" t="s">
        <v>117</v>
      </c>
      <c r="X32" s="2" t="s">
        <v>759</v>
      </c>
      <c r="Y32" s="3" t="n">
        <v>45448</v>
      </c>
      <c r="Z32" s="2" t="s">
        <v>760</v>
      </c>
      <c r="AA32" s="2" t="s">
        <v>161</v>
      </c>
      <c r="AB32" s="2" t="s">
        <v>122</v>
      </c>
      <c r="AC32" s="2" t="s">
        <v>761</v>
      </c>
      <c r="AD32" s="2" t="s">
        <v>762</v>
      </c>
      <c r="AE32" s="2" t="s">
        <v>395</v>
      </c>
      <c r="AF32" s="2" t="s">
        <v>396</v>
      </c>
      <c r="AG32" s="2" t="s">
        <v>763</v>
      </c>
      <c r="AH32" s="2" t="n">
        <v>5</v>
      </c>
      <c r="AI32" s="4" t="n">
        <v>185.01</v>
      </c>
      <c r="AJ32" s="5" t="n">
        <v>0.25</v>
      </c>
      <c r="AK32" s="5" t="n">
        <v>0.08</v>
      </c>
      <c r="AL32" s="4" t="n">
        <v>15.45</v>
      </c>
      <c r="AM32" s="2" t="s">
        <v>128</v>
      </c>
      <c r="AN32" s="2" t="s">
        <v>557</v>
      </c>
      <c r="AO32" s="2" t="s">
        <v>116</v>
      </c>
      <c r="AP32" s="4" t="n">
        <v>83.25</v>
      </c>
      <c r="AQ32" s="2" t="s">
        <v>764</v>
      </c>
      <c r="AR32" s="2" t="s">
        <v>765</v>
      </c>
      <c r="AS32" s="2" t="s">
        <v>152</v>
      </c>
      <c r="AT32" s="2" t="s">
        <v>151</v>
      </c>
      <c r="AU32" s="2" t="s">
        <v>133</v>
      </c>
      <c r="AV32" s="2" t="s">
        <v>351</v>
      </c>
      <c r="AW32" s="2" t="s">
        <v>766</v>
      </c>
      <c r="AX32" s="3" t="n">
        <v>45458</v>
      </c>
      <c r="AY32" s="3" t="n">
        <v>45461</v>
      </c>
      <c r="AZ32" s="2" t="s">
        <v>136</v>
      </c>
      <c r="BA32" s="2" t="s">
        <v>118</v>
      </c>
      <c r="BB32" s="2" t="s">
        <v>113</v>
      </c>
      <c r="BC32" s="2" t="s">
        <v>113</v>
      </c>
      <c r="BD32" s="2" t="s">
        <v>118</v>
      </c>
      <c r="BE32" s="2" t="s">
        <v>113</v>
      </c>
      <c r="BF32" s="2" t="s">
        <v>226</v>
      </c>
      <c r="BG32" s="2" t="s">
        <v>767</v>
      </c>
      <c r="BH32" s="2" t="s">
        <v>768</v>
      </c>
      <c r="BI32" s="4" t="n">
        <v>267.06</v>
      </c>
      <c r="BJ32" s="2" t="n">
        <v>16175</v>
      </c>
      <c r="BK32" s="2" t="n">
        <v>1892</v>
      </c>
      <c r="BL32" s="2" t="s">
        <v>769</v>
      </c>
      <c r="BM32" s="2" t="s">
        <v>117</v>
      </c>
      <c r="BN32" s="2" t="s">
        <v>141</v>
      </c>
      <c r="BO32" s="2" t="s">
        <v>142</v>
      </c>
      <c r="BP32" s="2" t="s">
        <v>328</v>
      </c>
      <c r="BQ32" s="2" t="n">
        <v>36.7</v>
      </c>
      <c r="BR32" s="2" t="n">
        <v>28</v>
      </c>
      <c r="BS32" s="2" t="s">
        <v>118</v>
      </c>
      <c r="BT32" s="2" t="n">
        <v>5</v>
      </c>
      <c r="BU32" s="2" t="n">
        <v>4.1</v>
      </c>
      <c r="BV32" s="2" t="n">
        <v>7</v>
      </c>
      <c r="BW32" s="3" t="n">
        <v>45984</v>
      </c>
      <c r="BX32" s="2" t="n">
        <v>3</v>
      </c>
      <c r="BY32" s="2" t="n">
        <v>38</v>
      </c>
      <c r="BZ32" s="2" t="s">
        <v>117</v>
      </c>
      <c r="CA32" s="2" t="n">
        <v>39</v>
      </c>
      <c r="CB32" s="2" t="n">
        <v>8</v>
      </c>
      <c r="CC32" s="2" t="n">
        <v>1</v>
      </c>
      <c r="CD32" s="2" t="n">
        <v>66.1</v>
      </c>
      <c r="CE32" s="4" t="n">
        <v>8154.95</v>
      </c>
      <c r="CF32" s="5" t="n">
        <v>64.2</v>
      </c>
      <c r="CG32" s="2" t="n">
        <v>360</v>
      </c>
      <c r="CH32" s="2" t="s">
        <v>144</v>
      </c>
      <c r="CI32" s="2" t="s">
        <v>117</v>
      </c>
      <c r="CJ32" s="2" t="n">
        <v>5</v>
      </c>
      <c r="CK32" s="2" t="n">
        <v>35</v>
      </c>
      <c r="CL32" s="4" t="n">
        <v>481.06</v>
      </c>
      <c r="CM32" s="2" t="n">
        <v>40</v>
      </c>
      <c r="CN32" s="2" t="s">
        <v>118</v>
      </c>
      <c r="CO32" s="4" t="n">
        <f aca="false">AH32*AI32</f>
        <v>925.05</v>
      </c>
      <c r="CP32" s="4" t="n">
        <f aca="false">CO32*AJ32</f>
        <v>231.2625</v>
      </c>
      <c r="CQ32" s="4" t="n">
        <f aca="false">(CO32-CP32)*AK32</f>
        <v>55.503</v>
      </c>
      <c r="CR32" s="4" t="n">
        <f aca="false">CO32-CP32+CQ32+AL32</f>
        <v>764.7405</v>
      </c>
      <c r="CS32" s="4" t="n">
        <f aca="false">CR32-(AP32*AH32)-AL32</f>
        <v>333.0405</v>
      </c>
      <c r="CT32" s="5" t="n">
        <f aca="false">IFERROR(CS32/CR32,0)</f>
        <v>0.435494785486057</v>
      </c>
      <c r="CU32" s="6" t="n">
        <f aca="false">IFERROR(BK32/BJ32,0)</f>
        <v>0.116970633693972</v>
      </c>
      <c r="CV32" s="2" t="n">
        <f aca="false">IF(AY32="N/A","N/A",AY32-AX32)</f>
        <v>3</v>
      </c>
    </row>
    <row r="33" customFormat="false" ht="15" hidden="false" customHeight="false" outlineLevel="0" collapsed="false">
      <c r="A33" s="2" t="s">
        <v>770</v>
      </c>
      <c r="B33" s="2" t="s">
        <v>209</v>
      </c>
      <c r="C33" s="2" t="s">
        <v>771</v>
      </c>
      <c r="D33" s="2" t="s">
        <v>772</v>
      </c>
      <c r="E33" s="2" t="s">
        <v>773</v>
      </c>
      <c r="F33" s="2" t="s">
        <v>184</v>
      </c>
      <c r="G33" s="2" t="n">
        <v>33</v>
      </c>
      <c r="H33" s="3" t="n">
        <v>33946</v>
      </c>
      <c r="I33" s="2" t="s">
        <v>487</v>
      </c>
      <c r="J33" s="2" t="s">
        <v>488</v>
      </c>
      <c r="K33" s="2" t="s">
        <v>489</v>
      </c>
      <c r="L33" s="2" t="s">
        <v>490</v>
      </c>
      <c r="M33" s="2" t="s">
        <v>774</v>
      </c>
      <c r="N33" s="3" t="n">
        <v>43431</v>
      </c>
      <c r="O33" s="2" t="s">
        <v>311</v>
      </c>
      <c r="P33" s="2" t="n">
        <v>259</v>
      </c>
      <c r="Q33" s="2" t="s">
        <v>775</v>
      </c>
      <c r="R33" s="2" t="s">
        <v>662</v>
      </c>
      <c r="S33" s="2" t="s">
        <v>114</v>
      </c>
      <c r="T33" s="2" t="s">
        <v>115</v>
      </c>
      <c r="U33" s="2" t="s">
        <v>158</v>
      </c>
      <c r="V33" s="2" t="s">
        <v>117</v>
      </c>
      <c r="W33" s="2" t="s">
        <v>117</v>
      </c>
      <c r="X33" s="2" t="s">
        <v>776</v>
      </c>
      <c r="Y33" s="3" t="n">
        <v>45387</v>
      </c>
      <c r="Z33" s="2" t="s">
        <v>777</v>
      </c>
      <c r="AA33" s="2" t="s">
        <v>161</v>
      </c>
      <c r="AB33" s="2" t="s">
        <v>342</v>
      </c>
      <c r="AC33" s="2" t="s">
        <v>778</v>
      </c>
      <c r="AD33" s="2" t="s">
        <v>675</v>
      </c>
      <c r="AE33" s="2" t="s">
        <v>295</v>
      </c>
      <c r="AF33" s="2" t="s">
        <v>496</v>
      </c>
      <c r="AG33" s="2" t="s">
        <v>497</v>
      </c>
      <c r="AH33" s="2" t="n">
        <v>4</v>
      </c>
      <c r="AI33" s="4" t="n">
        <v>9.77</v>
      </c>
      <c r="AJ33" s="5" t="n">
        <v>0</v>
      </c>
      <c r="AK33" s="5" t="n">
        <v>0.08</v>
      </c>
      <c r="AL33" s="4" t="n">
        <v>8.29</v>
      </c>
      <c r="AM33" s="2" t="s">
        <v>128</v>
      </c>
      <c r="AN33" s="2" t="s">
        <v>129</v>
      </c>
      <c r="AO33" s="2" t="s">
        <v>130</v>
      </c>
      <c r="AP33" s="4" t="n">
        <v>3.91</v>
      </c>
      <c r="AQ33" s="2" t="s">
        <v>779</v>
      </c>
      <c r="AR33" s="2" t="s">
        <v>780</v>
      </c>
      <c r="AS33" s="2" t="s">
        <v>489</v>
      </c>
      <c r="AT33" s="2" t="s">
        <v>487</v>
      </c>
      <c r="AU33" s="2" t="s">
        <v>172</v>
      </c>
      <c r="AV33" s="2" t="s">
        <v>278</v>
      </c>
      <c r="AW33" s="2" t="s">
        <v>781</v>
      </c>
      <c r="AX33" s="3" t="n">
        <v>45391</v>
      </c>
      <c r="AY33" s="3" t="n">
        <v>45390</v>
      </c>
      <c r="AZ33" s="2" t="s">
        <v>301</v>
      </c>
      <c r="BA33" s="2" t="s">
        <v>118</v>
      </c>
      <c r="BB33" s="2" t="s">
        <v>113</v>
      </c>
      <c r="BC33" s="2" t="s">
        <v>113</v>
      </c>
      <c r="BD33" s="2" t="s">
        <v>118</v>
      </c>
      <c r="BE33" s="2" t="s">
        <v>113</v>
      </c>
      <c r="BF33" s="2" t="s">
        <v>440</v>
      </c>
      <c r="BG33" s="2" t="s">
        <v>594</v>
      </c>
      <c r="BH33" s="2" t="s">
        <v>782</v>
      </c>
      <c r="BI33" s="4" t="n">
        <v>119.91</v>
      </c>
      <c r="BJ33" s="2" t="n">
        <v>10955</v>
      </c>
      <c r="BK33" s="2" t="n">
        <v>1163</v>
      </c>
      <c r="BL33" s="2" t="s">
        <v>783</v>
      </c>
      <c r="BM33" s="2" t="s">
        <v>118</v>
      </c>
      <c r="BN33" s="2" t="s">
        <v>141</v>
      </c>
      <c r="BO33" s="2" t="s">
        <v>178</v>
      </c>
      <c r="BP33" s="2" t="s">
        <v>328</v>
      </c>
      <c r="BQ33" s="2" t="n">
        <v>43</v>
      </c>
      <c r="BR33" s="2" t="n">
        <v>26</v>
      </c>
      <c r="BS33" s="2" t="s">
        <v>118</v>
      </c>
      <c r="BT33" s="2" t="n">
        <v>10</v>
      </c>
      <c r="BU33" s="2" t="n">
        <v>1.9</v>
      </c>
      <c r="BV33" s="2" t="n">
        <v>18</v>
      </c>
      <c r="BW33" s="3" t="n">
        <v>45848</v>
      </c>
      <c r="BX33" s="2" t="n">
        <v>4</v>
      </c>
      <c r="BY33" s="2" t="n">
        <v>125</v>
      </c>
      <c r="BZ33" s="2" t="s">
        <v>117</v>
      </c>
      <c r="CA33" s="2" t="n">
        <v>77</v>
      </c>
      <c r="CB33" s="2" t="n">
        <v>10</v>
      </c>
      <c r="CC33" s="2" t="n">
        <v>3</v>
      </c>
      <c r="CD33" s="2" t="n">
        <v>19.9</v>
      </c>
      <c r="CE33" s="4" t="n">
        <v>13866.18</v>
      </c>
      <c r="CF33" s="5" t="n">
        <v>68.4</v>
      </c>
      <c r="CG33" s="2" t="n">
        <v>587</v>
      </c>
      <c r="CH33" s="2" t="s">
        <v>144</v>
      </c>
      <c r="CI33" s="2" t="s">
        <v>118</v>
      </c>
      <c r="CJ33" s="2" t="n">
        <v>6</v>
      </c>
      <c r="CK33" s="2" t="n">
        <v>24</v>
      </c>
      <c r="CL33" s="4" t="n">
        <v>414.22</v>
      </c>
      <c r="CM33" s="2" t="n">
        <v>338</v>
      </c>
      <c r="CN33" s="2" t="s">
        <v>118</v>
      </c>
      <c r="CO33" s="4" t="n">
        <f aca="false">AH33*AI33</f>
        <v>39.08</v>
      </c>
      <c r="CP33" s="4" t="n">
        <f aca="false">CO33*AJ33</f>
        <v>0</v>
      </c>
      <c r="CQ33" s="4" t="n">
        <f aca="false">(CO33-CP33)*AK33</f>
        <v>3.1264</v>
      </c>
      <c r="CR33" s="4" t="n">
        <f aca="false">CO33-CP33+CQ33+AL33</f>
        <v>50.4964</v>
      </c>
      <c r="CS33" s="4" t="n">
        <f aca="false">CR33-(AP33*AH33)-AL33</f>
        <v>26.5664</v>
      </c>
      <c r="CT33" s="5" t="n">
        <f aca="false">IFERROR(CS33/CR33,0)</f>
        <v>0.526104831235494</v>
      </c>
      <c r="CU33" s="6" t="n">
        <f aca="false">IFERROR(BK33/BJ33,0)</f>
        <v>0.106161570059334</v>
      </c>
      <c r="CV33" s="2" t="n">
        <f aca="false">IF(AY33="N/A","N/A",AY33-AX33)</f>
        <v>-1</v>
      </c>
    </row>
    <row r="34" customFormat="false" ht="15" hidden="false" customHeight="false" outlineLevel="0" collapsed="false">
      <c r="A34" s="2" t="s">
        <v>784</v>
      </c>
      <c r="B34" s="2" t="s">
        <v>717</v>
      </c>
      <c r="C34" s="2" t="s">
        <v>634</v>
      </c>
      <c r="D34" s="2" t="s">
        <v>785</v>
      </c>
      <c r="E34" s="2" t="s">
        <v>786</v>
      </c>
      <c r="F34" s="2" t="s">
        <v>150</v>
      </c>
      <c r="G34" s="2" t="n">
        <v>69</v>
      </c>
      <c r="H34" s="3" t="n">
        <v>20568</v>
      </c>
      <c r="I34" s="2" t="s">
        <v>265</v>
      </c>
      <c r="J34" s="2" t="s">
        <v>787</v>
      </c>
      <c r="K34" s="2" t="s">
        <v>788</v>
      </c>
      <c r="L34" s="2" t="s">
        <v>789</v>
      </c>
      <c r="M34" s="2" t="s">
        <v>790</v>
      </c>
      <c r="N34" s="3" t="n">
        <v>43437</v>
      </c>
      <c r="O34" s="2" t="s">
        <v>155</v>
      </c>
      <c r="P34" s="2" t="n">
        <v>3112</v>
      </c>
      <c r="Q34" s="2" t="s">
        <v>791</v>
      </c>
      <c r="R34" s="2" t="s">
        <v>113</v>
      </c>
      <c r="S34" s="2" t="s">
        <v>114</v>
      </c>
      <c r="T34" s="2" t="s">
        <v>365</v>
      </c>
      <c r="U34" s="2" t="s">
        <v>222</v>
      </c>
      <c r="V34" s="2" t="s">
        <v>117</v>
      </c>
      <c r="W34" s="2" t="s">
        <v>118</v>
      </c>
      <c r="X34" s="2" t="s">
        <v>792</v>
      </c>
      <c r="Y34" s="3" t="n">
        <v>46020</v>
      </c>
      <c r="Z34" s="2" t="s">
        <v>793</v>
      </c>
      <c r="AA34" s="2" t="s">
        <v>161</v>
      </c>
      <c r="AB34" s="2" t="s">
        <v>122</v>
      </c>
      <c r="AC34" s="2" t="s">
        <v>794</v>
      </c>
      <c r="AD34" s="2" t="s">
        <v>795</v>
      </c>
      <c r="AE34" s="2" t="s">
        <v>625</v>
      </c>
      <c r="AF34" s="2" t="s">
        <v>796</v>
      </c>
      <c r="AG34" s="2" t="s">
        <v>748</v>
      </c>
      <c r="AH34" s="2" t="n">
        <v>3</v>
      </c>
      <c r="AI34" s="4" t="n">
        <v>26.33</v>
      </c>
      <c r="AJ34" s="5" t="n">
        <v>0</v>
      </c>
      <c r="AK34" s="5" t="n">
        <v>0.08</v>
      </c>
      <c r="AL34" s="4" t="n">
        <v>12.33</v>
      </c>
      <c r="AM34" s="2" t="s">
        <v>221</v>
      </c>
      <c r="AN34" s="2" t="s">
        <v>129</v>
      </c>
      <c r="AO34" s="2" t="s">
        <v>215</v>
      </c>
      <c r="AP34" s="4" t="n">
        <v>11.85</v>
      </c>
      <c r="AQ34" s="2" t="s">
        <v>797</v>
      </c>
      <c r="AR34" s="2" t="s">
        <v>798</v>
      </c>
      <c r="AS34" s="2" t="s">
        <v>788</v>
      </c>
      <c r="AT34" s="2" t="s">
        <v>265</v>
      </c>
      <c r="AU34" s="2" t="s">
        <v>350</v>
      </c>
      <c r="AV34" s="2" t="s">
        <v>351</v>
      </c>
      <c r="AW34" s="2" t="s">
        <v>799</v>
      </c>
      <c r="AX34" s="3" t="n">
        <v>46026</v>
      </c>
      <c r="AY34" s="3" t="n">
        <v>46031</v>
      </c>
      <c r="AZ34" s="2" t="s">
        <v>203</v>
      </c>
      <c r="BA34" s="2" t="s">
        <v>118</v>
      </c>
      <c r="BB34" s="2" t="s">
        <v>113</v>
      </c>
      <c r="BC34" s="2" t="s">
        <v>113</v>
      </c>
      <c r="BD34" s="2" t="s">
        <v>118</v>
      </c>
      <c r="BE34" s="2" t="s">
        <v>113</v>
      </c>
      <c r="BF34" s="2" t="s">
        <v>226</v>
      </c>
      <c r="BG34" s="2" t="s">
        <v>227</v>
      </c>
      <c r="BH34" s="2" t="s">
        <v>800</v>
      </c>
      <c r="BI34" s="4" t="n">
        <v>298.93</v>
      </c>
      <c r="BJ34" s="2" t="n">
        <v>4441</v>
      </c>
      <c r="BK34" s="2" t="n">
        <v>94</v>
      </c>
      <c r="BL34" s="2" t="s">
        <v>801</v>
      </c>
      <c r="BM34" s="2" t="s">
        <v>117</v>
      </c>
      <c r="BN34" s="2" t="s">
        <v>304</v>
      </c>
      <c r="BO34" s="2" t="s">
        <v>258</v>
      </c>
      <c r="BP34" s="2" t="s">
        <v>259</v>
      </c>
      <c r="BQ34" s="2" t="n">
        <v>0.8</v>
      </c>
      <c r="BR34" s="2" t="n">
        <v>26</v>
      </c>
      <c r="BS34" s="2" t="s">
        <v>118</v>
      </c>
      <c r="BT34" s="2" t="n">
        <v>19</v>
      </c>
      <c r="BU34" s="2" t="n">
        <v>12</v>
      </c>
      <c r="BV34" s="2" t="n">
        <v>56</v>
      </c>
      <c r="BW34" s="3" t="n">
        <v>46021</v>
      </c>
      <c r="BX34" s="2" t="n">
        <v>5</v>
      </c>
      <c r="BY34" s="2" t="n">
        <v>112</v>
      </c>
      <c r="BZ34" s="2" t="s">
        <v>117</v>
      </c>
      <c r="CA34" s="2" t="n">
        <v>4</v>
      </c>
      <c r="CB34" s="2" t="n">
        <v>2</v>
      </c>
      <c r="CC34" s="2" t="n">
        <v>0</v>
      </c>
      <c r="CD34" s="2" t="n">
        <v>0</v>
      </c>
      <c r="CE34" s="4" t="n">
        <v>1389.8</v>
      </c>
      <c r="CF34" s="5" t="n">
        <v>55.4</v>
      </c>
      <c r="CG34" s="2" t="n">
        <v>632</v>
      </c>
      <c r="CH34" s="2" t="s">
        <v>144</v>
      </c>
      <c r="CI34" s="2" t="s">
        <v>118</v>
      </c>
      <c r="CJ34" s="2" t="n">
        <v>2</v>
      </c>
      <c r="CK34" s="2" t="n">
        <v>39</v>
      </c>
      <c r="CL34" s="4" t="n">
        <v>205.99</v>
      </c>
      <c r="CM34" s="2" t="n">
        <v>355</v>
      </c>
      <c r="CN34" s="2" t="s">
        <v>118</v>
      </c>
      <c r="CO34" s="4" t="n">
        <f aca="false">AH34*AI34</f>
        <v>78.99</v>
      </c>
      <c r="CP34" s="4" t="n">
        <f aca="false">CO34*AJ34</f>
        <v>0</v>
      </c>
      <c r="CQ34" s="4" t="n">
        <f aca="false">(CO34-CP34)*AK34</f>
        <v>6.3192</v>
      </c>
      <c r="CR34" s="4" t="n">
        <f aca="false">CO34-CP34+CQ34+AL34</f>
        <v>97.6392</v>
      </c>
      <c r="CS34" s="4" t="n">
        <f aca="false">CR34-(AP34*AH34)-AL34</f>
        <v>49.7592</v>
      </c>
      <c r="CT34" s="5" t="n">
        <f aca="false">IFERROR(CS34/CR34,0)</f>
        <v>0.509623184130964</v>
      </c>
      <c r="CU34" s="6" t="n">
        <f aca="false">IFERROR(BK34/BJ34,0)</f>
        <v>0.0211664039630714</v>
      </c>
      <c r="CV34" s="2" t="n">
        <f aca="false">IF(AY34="N/A","N/A",AY34-AX34)</f>
        <v>5</v>
      </c>
    </row>
    <row r="35" customFormat="false" ht="15" hidden="false" customHeight="false" outlineLevel="0" collapsed="false">
      <c r="A35" s="2" t="s">
        <v>802</v>
      </c>
      <c r="B35" s="2" t="s">
        <v>803</v>
      </c>
      <c r="C35" s="2" t="s">
        <v>804</v>
      </c>
      <c r="D35" s="2" t="s">
        <v>805</v>
      </c>
      <c r="E35" s="2" t="s">
        <v>806</v>
      </c>
      <c r="F35" s="2" t="s">
        <v>150</v>
      </c>
      <c r="G35" s="2" t="n">
        <v>38</v>
      </c>
      <c r="H35" s="3" t="n">
        <v>31921</v>
      </c>
      <c r="I35" s="2" t="s">
        <v>807</v>
      </c>
      <c r="J35" s="2" t="s">
        <v>808</v>
      </c>
      <c r="K35" s="2" t="s">
        <v>809</v>
      </c>
      <c r="L35" s="2" t="s">
        <v>810</v>
      </c>
      <c r="M35" s="2" t="s">
        <v>811</v>
      </c>
      <c r="N35" s="3" t="n">
        <v>45459</v>
      </c>
      <c r="O35" s="2" t="s">
        <v>111</v>
      </c>
      <c r="P35" s="2" t="n">
        <v>2669</v>
      </c>
      <c r="Q35" s="2" t="s">
        <v>812</v>
      </c>
      <c r="R35" s="2" t="s">
        <v>113</v>
      </c>
      <c r="S35" s="2" t="s">
        <v>190</v>
      </c>
      <c r="T35" s="2" t="s">
        <v>115</v>
      </c>
      <c r="U35" s="2" t="s">
        <v>116</v>
      </c>
      <c r="V35" s="2" t="s">
        <v>117</v>
      </c>
      <c r="W35" s="2" t="s">
        <v>118</v>
      </c>
      <c r="X35" s="2" t="s">
        <v>813</v>
      </c>
      <c r="Y35" s="3" t="n">
        <v>45677</v>
      </c>
      <c r="Z35" s="2" t="s">
        <v>814</v>
      </c>
      <c r="AA35" s="2" t="s">
        <v>368</v>
      </c>
      <c r="AB35" s="2" t="s">
        <v>162</v>
      </c>
      <c r="AC35" s="2" t="s">
        <v>815</v>
      </c>
      <c r="AD35" s="2" t="s">
        <v>608</v>
      </c>
      <c r="AE35" s="2" t="s">
        <v>317</v>
      </c>
      <c r="AF35" s="2" t="s">
        <v>318</v>
      </c>
      <c r="AG35" s="2" t="s">
        <v>372</v>
      </c>
      <c r="AH35" s="2" t="n">
        <v>5</v>
      </c>
      <c r="AI35" s="4" t="n">
        <v>141.87</v>
      </c>
      <c r="AJ35" s="5" t="n">
        <v>0</v>
      </c>
      <c r="AK35" s="5" t="n">
        <v>0.08</v>
      </c>
      <c r="AL35" s="4" t="n">
        <v>19.22</v>
      </c>
      <c r="AM35" s="2" t="s">
        <v>128</v>
      </c>
      <c r="AN35" s="2" t="s">
        <v>129</v>
      </c>
      <c r="AO35" s="2" t="s">
        <v>271</v>
      </c>
      <c r="AP35" s="4" t="n">
        <v>70.94</v>
      </c>
      <c r="AQ35" s="2" t="s">
        <v>816</v>
      </c>
      <c r="AR35" s="2" t="s">
        <v>817</v>
      </c>
      <c r="AS35" s="2" t="s">
        <v>809</v>
      </c>
      <c r="AT35" s="2" t="s">
        <v>807</v>
      </c>
      <c r="AU35" s="2" t="s">
        <v>133</v>
      </c>
      <c r="AV35" s="2" t="s">
        <v>173</v>
      </c>
      <c r="AW35" s="2" t="s">
        <v>818</v>
      </c>
      <c r="AX35" s="3" t="n">
        <v>45687</v>
      </c>
      <c r="AY35" s="2" t="s">
        <v>113</v>
      </c>
      <c r="AZ35" s="2" t="s">
        <v>136</v>
      </c>
      <c r="BA35" s="2" t="s">
        <v>117</v>
      </c>
      <c r="BB35" s="2" t="s">
        <v>819</v>
      </c>
      <c r="BC35" s="3" t="n">
        <v>45698</v>
      </c>
      <c r="BD35" s="2" t="s">
        <v>118</v>
      </c>
      <c r="BE35" s="2" t="s">
        <v>113</v>
      </c>
      <c r="BF35" s="2" t="s">
        <v>255</v>
      </c>
      <c r="BG35" s="2" t="s">
        <v>820</v>
      </c>
      <c r="BH35" s="2" t="s">
        <v>821</v>
      </c>
      <c r="BI35" s="4" t="n">
        <v>53.81</v>
      </c>
      <c r="BJ35" s="2" t="n">
        <v>6969</v>
      </c>
      <c r="BK35" s="2" t="n">
        <v>902</v>
      </c>
      <c r="BL35" s="2" t="s">
        <v>822</v>
      </c>
      <c r="BM35" s="2" t="s">
        <v>118</v>
      </c>
      <c r="BN35" s="2" t="s">
        <v>141</v>
      </c>
      <c r="BO35" s="2" t="s">
        <v>178</v>
      </c>
      <c r="BP35" s="2" t="s">
        <v>823</v>
      </c>
      <c r="BQ35" s="2" t="n">
        <v>31.1</v>
      </c>
      <c r="BR35" s="2" t="n">
        <v>15</v>
      </c>
      <c r="BS35" s="2" t="s">
        <v>118</v>
      </c>
      <c r="BT35" s="2" t="n">
        <v>12</v>
      </c>
      <c r="BU35" s="2" t="n">
        <v>14.4</v>
      </c>
      <c r="BV35" s="2" t="n">
        <v>44</v>
      </c>
      <c r="BW35" s="3" t="n">
        <v>45978</v>
      </c>
      <c r="BX35" s="2" t="n">
        <v>5</v>
      </c>
      <c r="BY35" s="2" t="n">
        <v>128</v>
      </c>
      <c r="BZ35" s="2" t="s">
        <v>117</v>
      </c>
      <c r="CA35" s="2" t="n">
        <v>-65</v>
      </c>
      <c r="CB35" s="2" t="n">
        <v>5</v>
      </c>
      <c r="CC35" s="2" t="n">
        <v>1</v>
      </c>
      <c r="CD35" s="2" t="n">
        <v>18.6</v>
      </c>
      <c r="CE35" s="4" t="n">
        <v>2354.44</v>
      </c>
      <c r="CF35" s="5" t="n">
        <v>42.3</v>
      </c>
      <c r="CG35" s="2" t="n">
        <v>686</v>
      </c>
      <c r="CH35" s="2" t="s">
        <v>283</v>
      </c>
      <c r="CI35" s="2" t="s">
        <v>117</v>
      </c>
      <c r="CJ35" s="2" t="n">
        <v>4</v>
      </c>
      <c r="CK35" s="2" t="n">
        <v>54</v>
      </c>
      <c r="CL35" s="4" t="n">
        <v>553.92</v>
      </c>
      <c r="CM35" s="2" t="n">
        <v>43</v>
      </c>
      <c r="CN35" s="2" t="s">
        <v>117</v>
      </c>
      <c r="CO35" s="4" t="n">
        <f aca="false">AH35*AI35</f>
        <v>709.35</v>
      </c>
      <c r="CP35" s="4" t="n">
        <f aca="false">CO35*AJ35</f>
        <v>0</v>
      </c>
      <c r="CQ35" s="4" t="n">
        <f aca="false">(CO35-CP35)*AK35</f>
        <v>56.748</v>
      </c>
      <c r="CR35" s="4" t="n">
        <f aca="false">CO35-CP35+CQ35+AL35</f>
        <v>785.318</v>
      </c>
      <c r="CS35" s="4" t="n">
        <f aca="false">CR35-(AP35*AH35)-AL35</f>
        <v>411.398</v>
      </c>
      <c r="CT35" s="5" t="n">
        <f aca="false">IFERROR(CS35/CR35,0)</f>
        <v>0.523861671322955</v>
      </c>
      <c r="CU35" s="6" t="n">
        <f aca="false">IFERROR(BK35/BJ35,0)</f>
        <v>0.129430334337782</v>
      </c>
      <c r="CV35" s="2" t="str">
        <f aca="false">IF(AY35="N/A","N/A",AY35-AX35)</f>
        <v>N/A</v>
      </c>
    </row>
    <row r="36" customFormat="false" ht="15" hidden="false" customHeight="false" outlineLevel="0" collapsed="false">
      <c r="A36" s="2" t="s">
        <v>824</v>
      </c>
      <c r="B36" s="2" t="s">
        <v>825</v>
      </c>
      <c r="C36" s="2" t="s">
        <v>826</v>
      </c>
      <c r="D36" s="2" t="s">
        <v>827</v>
      </c>
      <c r="E36" s="2" t="s">
        <v>828</v>
      </c>
      <c r="F36" s="2" t="s">
        <v>150</v>
      </c>
      <c r="G36" s="2" t="n">
        <v>37</v>
      </c>
      <c r="H36" s="3" t="n">
        <v>32309</v>
      </c>
      <c r="I36" s="2" t="s">
        <v>599</v>
      </c>
      <c r="J36" s="2" t="s">
        <v>667</v>
      </c>
      <c r="K36" s="2" t="s">
        <v>668</v>
      </c>
      <c r="L36" s="2" t="s">
        <v>669</v>
      </c>
      <c r="M36" s="2" t="s">
        <v>829</v>
      </c>
      <c r="N36" s="3" t="n">
        <v>45235</v>
      </c>
      <c r="O36" s="2" t="s">
        <v>311</v>
      </c>
      <c r="P36" s="2" t="n">
        <v>3900</v>
      </c>
      <c r="Q36" s="2" t="s">
        <v>830</v>
      </c>
      <c r="R36" s="2" t="s">
        <v>113</v>
      </c>
      <c r="S36" s="2" t="s">
        <v>114</v>
      </c>
      <c r="T36" s="2" t="s">
        <v>365</v>
      </c>
      <c r="U36" s="2" t="s">
        <v>215</v>
      </c>
      <c r="V36" s="2" t="s">
        <v>118</v>
      </c>
      <c r="W36" s="2" t="s">
        <v>118</v>
      </c>
      <c r="X36" s="2" t="s">
        <v>831</v>
      </c>
      <c r="Y36" s="3" t="n">
        <v>45391</v>
      </c>
      <c r="Z36" s="2" t="s">
        <v>832</v>
      </c>
      <c r="AA36" s="2" t="s">
        <v>414</v>
      </c>
      <c r="AB36" s="2" t="s">
        <v>218</v>
      </c>
      <c r="AC36" s="2" t="s">
        <v>833</v>
      </c>
      <c r="AD36" s="2" t="s">
        <v>294</v>
      </c>
      <c r="AE36" s="2" t="s">
        <v>295</v>
      </c>
      <c r="AF36" s="2" t="s">
        <v>496</v>
      </c>
      <c r="AG36" s="2" t="s">
        <v>834</v>
      </c>
      <c r="AH36" s="2" t="n">
        <v>3</v>
      </c>
      <c r="AI36" s="4" t="n">
        <v>8.8</v>
      </c>
      <c r="AJ36" s="5" t="n">
        <v>0</v>
      </c>
      <c r="AK36" s="5" t="n">
        <v>0.08</v>
      </c>
      <c r="AL36" s="4" t="n">
        <v>8.15</v>
      </c>
      <c r="AM36" s="2" t="s">
        <v>198</v>
      </c>
      <c r="AN36" s="2" t="s">
        <v>129</v>
      </c>
      <c r="AO36" s="2" t="s">
        <v>130</v>
      </c>
      <c r="AP36" s="4" t="n">
        <v>3.52</v>
      </c>
      <c r="AQ36" s="2" t="s">
        <v>835</v>
      </c>
      <c r="AR36" s="2" t="s">
        <v>836</v>
      </c>
      <c r="AS36" s="2" t="s">
        <v>668</v>
      </c>
      <c r="AT36" s="2" t="s">
        <v>599</v>
      </c>
      <c r="AU36" s="2" t="s">
        <v>172</v>
      </c>
      <c r="AV36" s="2" t="s">
        <v>278</v>
      </c>
      <c r="AW36" s="2" t="s">
        <v>837</v>
      </c>
      <c r="AX36" s="3" t="n">
        <v>45393</v>
      </c>
      <c r="AY36" s="2" t="s">
        <v>113</v>
      </c>
      <c r="AZ36" s="2" t="s">
        <v>136</v>
      </c>
      <c r="BA36" s="2" t="s">
        <v>118</v>
      </c>
      <c r="BB36" s="2" t="s">
        <v>113</v>
      </c>
      <c r="BC36" s="2" t="s">
        <v>113</v>
      </c>
      <c r="BD36" s="2" t="s">
        <v>118</v>
      </c>
      <c r="BE36" s="2" t="s">
        <v>113</v>
      </c>
      <c r="BF36" s="2" t="s">
        <v>204</v>
      </c>
      <c r="BG36" s="2" t="s">
        <v>838</v>
      </c>
      <c r="BH36" s="2" t="s">
        <v>839</v>
      </c>
      <c r="BI36" s="4" t="n">
        <v>295.57</v>
      </c>
      <c r="BJ36" s="2" t="n">
        <v>5485</v>
      </c>
      <c r="BK36" s="2" t="n">
        <v>763</v>
      </c>
      <c r="BL36" s="2" t="s">
        <v>540</v>
      </c>
      <c r="BM36" s="2" t="s">
        <v>118</v>
      </c>
      <c r="BN36" s="2" t="s">
        <v>141</v>
      </c>
      <c r="BO36" s="2" t="s">
        <v>207</v>
      </c>
      <c r="BP36" s="2" t="s">
        <v>259</v>
      </c>
      <c r="BQ36" s="2" t="n">
        <v>36.7</v>
      </c>
      <c r="BR36" s="2" t="n">
        <v>20</v>
      </c>
      <c r="BS36" s="2" t="s">
        <v>118</v>
      </c>
      <c r="BT36" s="2" t="n">
        <v>18</v>
      </c>
      <c r="BU36" s="2" t="n">
        <v>3.5</v>
      </c>
      <c r="BV36" s="2" t="n">
        <v>9</v>
      </c>
      <c r="BW36" s="3" t="n">
        <v>45711</v>
      </c>
      <c r="BX36" s="2" t="n">
        <v>3</v>
      </c>
      <c r="BY36" s="2" t="n">
        <v>30</v>
      </c>
      <c r="BZ36" s="2" t="s">
        <v>117</v>
      </c>
      <c r="CA36" s="2" t="n">
        <v>43</v>
      </c>
      <c r="CB36" s="2" t="n">
        <v>7</v>
      </c>
      <c r="CC36" s="2" t="n">
        <v>3</v>
      </c>
      <c r="CD36" s="2" t="n">
        <v>17.1</v>
      </c>
      <c r="CE36" s="4" t="n">
        <v>6105.46</v>
      </c>
      <c r="CF36" s="5" t="n">
        <v>18.4</v>
      </c>
      <c r="CG36" s="2" t="n">
        <v>742</v>
      </c>
      <c r="CH36" s="2" t="s">
        <v>283</v>
      </c>
      <c r="CI36" s="2" t="s">
        <v>117</v>
      </c>
      <c r="CJ36" s="2" t="n">
        <v>2</v>
      </c>
      <c r="CK36" s="2" t="n">
        <v>66</v>
      </c>
      <c r="CL36" s="4" t="n">
        <v>245.31</v>
      </c>
      <c r="CM36" s="2" t="n">
        <v>305</v>
      </c>
      <c r="CN36" s="2" t="s">
        <v>117</v>
      </c>
      <c r="CO36" s="4" t="n">
        <f aca="false">AH36*AI36</f>
        <v>26.4</v>
      </c>
      <c r="CP36" s="4" t="n">
        <f aca="false">CO36*AJ36</f>
        <v>0</v>
      </c>
      <c r="CQ36" s="4" t="n">
        <f aca="false">(CO36-CP36)*AK36</f>
        <v>2.112</v>
      </c>
      <c r="CR36" s="4" t="n">
        <f aca="false">CO36-CP36+CQ36+AL36</f>
        <v>36.662</v>
      </c>
      <c r="CS36" s="4" t="n">
        <f aca="false">CR36-(AP36*AH36)-AL36</f>
        <v>17.952</v>
      </c>
      <c r="CT36" s="5" t="n">
        <f aca="false">IFERROR(CS36/CR36,0)</f>
        <v>0.489662320658993</v>
      </c>
      <c r="CU36" s="6" t="n">
        <f aca="false">IFERROR(BK36/BJ36,0)</f>
        <v>0.139106654512306</v>
      </c>
      <c r="CV36" s="2" t="str">
        <f aca="false">IF(AY36="N/A","N/A",AY36-AX36)</f>
        <v>N/A</v>
      </c>
    </row>
    <row r="37" customFormat="false" ht="15" hidden="false" customHeight="false" outlineLevel="0" collapsed="false">
      <c r="A37" s="2" t="s">
        <v>840</v>
      </c>
      <c r="B37" s="2" t="s">
        <v>841</v>
      </c>
      <c r="C37" s="2" t="s">
        <v>383</v>
      </c>
      <c r="D37" s="2" t="s">
        <v>842</v>
      </c>
      <c r="E37" s="2" t="s">
        <v>843</v>
      </c>
      <c r="F37" s="2" t="s">
        <v>105</v>
      </c>
      <c r="G37" s="2" t="n">
        <v>49</v>
      </c>
      <c r="H37" s="3" t="n">
        <v>28082</v>
      </c>
      <c r="I37" s="2" t="s">
        <v>599</v>
      </c>
      <c r="J37" s="2" t="s">
        <v>600</v>
      </c>
      <c r="K37" s="2" t="s">
        <v>601</v>
      </c>
      <c r="L37" s="2" t="s">
        <v>602</v>
      </c>
      <c r="M37" s="2" t="s">
        <v>844</v>
      </c>
      <c r="N37" s="3" t="n">
        <v>45373</v>
      </c>
      <c r="O37" s="2" t="s">
        <v>155</v>
      </c>
      <c r="P37" s="2" t="n">
        <v>2366</v>
      </c>
      <c r="Q37" s="2" t="s">
        <v>845</v>
      </c>
      <c r="R37" s="2" t="s">
        <v>113</v>
      </c>
      <c r="S37" s="2" t="s">
        <v>114</v>
      </c>
      <c r="T37" s="2" t="s">
        <v>551</v>
      </c>
      <c r="U37" s="2" t="s">
        <v>222</v>
      </c>
      <c r="V37" s="2" t="s">
        <v>117</v>
      </c>
      <c r="W37" s="2" t="s">
        <v>118</v>
      </c>
      <c r="X37" s="2" t="s">
        <v>846</v>
      </c>
      <c r="Y37" s="3" t="n">
        <v>45435</v>
      </c>
      <c r="Z37" s="2" t="s">
        <v>847</v>
      </c>
      <c r="AA37" s="2" t="s">
        <v>161</v>
      </c>
      <c r="AB37" s="2" t="s">
        <v>122</v>
      </c>
      <c r="AC37" s="2" t="s">
        <v>848</v>
      </c>
      <c r="AD37" s="2" t="s">
        <v>394</v>
      </c>
      <c r="AE37" s="2" t="s">
        <v>395</v>
      </c>
      <c r="AF37" s="2" t="s">
        <v>396</v>
      </c>
      <c r="AG37" s="2" t="s">
        <v>556</v>
      </c>
      <c r="AH37" s="2" t="n">
        <v>1</v>
      </c>
      <c r="AI37" s="4" t="n">
        <v>191.76</v>
      </c>
      <c r="AJ37" s="5" t="n">
        <v>0</v>
      </c>
      <c r="AK37" s="5" t="n">
        <v>0.08</v>
      </c>
      <c r="AL37" s="4" t="n">
        <v>20.57</v>
      </c>
      <c r="AM37" s="2" t="s">
        <v>221</v>
      </c>
      <c r="AN37" s="2" t="s">
        <v>475</v>
      </c>
      <c r="AO37" s="2" t="s">
        <v>116</v>
      </c>
      <c r="AP37" s="4" t="n">
        <v>86.29</v>
      </c>
      <c r="AQ37" s="2" t="s">
        <v>849</v>
      </c>
      <c r="AR37" s="2" t="s">
        <v>850</v>
      </c>
      <c r="AS37" s="2" t="s">
        <v>601</v>
      </c>
      <c r="AT37" s="2" t="s">
        <v>599</v>
      </c>
      <c r="AU37" s="2" t="s">
        <v>350</v>
      </c>
      <c r="AV37" s="2" t="s">
        <v>351</v>
      </c>
      <c r="AW37" s="2" t="s">
        <v>851</v>
      </c>
      <c r="AX37" s="3" t="n">
        <v>45444</v>
      </c>
      <c r="AY37" s="3" t="n">
        <v>45444</v>
      </c>
      <c r="AZ37" s="2" t="s">
        <v>175</v>
      </c>
      <c r="BA37" s="2" t="s">
        <v>118</v>
      </c>
      <c r="BB37" s="2" t="s">
        <v>113</v>
      </c>
      <c r="BC37" s="2" t="s">
        <v>113</v>
      </c>
      <c r="BD37" s="2" t="s">
        <v>118</v>
      </c>
      <c r="BE37" s="2" t="s">
        <v>113</v>
      </c>
      <c r="BF37" s="2" t="s">
        <v>137</v>
      </c>
      <c r="BG37" s="2" t="s">
        <v>138</v>
      </c>
      <c r="BH37" s="2" t="s">
        <v>852</v>
      </c>
      <c r="BI37" s="4" t="n">
        <v>227.62</v>
      </c>
      <c r="BJ37" s="2" t="n">
        <v>18501</v>
      </c>
      <c r="BK37" s="2" t="n">
        <v>2075</v>
      </c>
      <c r="BL37" s="2" t="s">
        <v>853</v>
      </c>
      <c r="BM37" s="2" t="s">
        <v>118</v>
      </c>
      <c r="BN37" s="2" t="s">
        <v>304</v>
      </c>
      <c r="BO37" s="2" t="s">
        <v>258</v>
      </c>
      <c r="BP37" s="2" t="s">
        <v>328</v>
      </c>
      <c r="BQ37" s="2" t="n">
        <v>44.7</v>
      </c>
      <c r="BR37" s="2" t="n">
        <v>16</v>
      </c>
      <c r="BS37" s="2" t="s">
        <v>117</v>
      </c>
      <c r="BT37" s="2" t="n">
        <v>18</v>
      </c>
      <c r="BU37" s="2" t="n">
        <v>21</v>
      </c>
      <c r="BV37" s="2" t="n">
        <v>56</v>
      </c>
      <c r="BW37" s="3" t="n">
        <v>45873</v>
      </c>
      <c r="BX37" s="2" t="n">
        <v>5</v>
      </c>
      <c r="BY37" s="2" t="n">
        <v>42</v>
      </c>
      <c r="BZ37" s="2" t="s">
        <v>118</v>
      </c>
      <c r="CA37" s="2" t="n">
        <v>13</v>
      </c>
      <c r="CB37" s="2" t="n">
        <v>8</v>
      </c>
      <c r="CC37" s="2" t="n">
        <v>1</v>
      </c>
      <c r="CD37" s="2" t="n">
        <v>6.4</v>
      </c>
      <c r="CE37" s="4" t="n">
        <v>511.37</v>
      </c>
      <c r="CF37" s="5" t="n">
        <v>76.1</v>
      </c>
      <c r="CG37" s="2" t="n">
        <v>599</v>
      </c>
      <c r="CH37" s="2" t="s">
        <v>283</v>
      </c>
      <c r="CI37" s="2" t="s">
        <v>118</v>
      </c>
      <c r="CJ37" s="2" t="n">
        <v>0</v>
      </c>
      <c r="CK37" s="2" t="n">
        <v>73</v>
      </c>
      <c r="CL37" s="4" t="n">
        <v>223.47</v>
      </c>
      <c r="CM37" s="2" t="n">
        <v>143</v>
      </c>
      <c r="CN37" s="2" t="s">
        <v>118</v>
      </c>
      <c r="CO37" s="4" t="n">
        <f aca="false">AH37*AI37</f>
        <v>191.76</v>
      </c>
      <c r="CP37" s="4" t="n">
        <f aca="false">CO37*AJ37</f>
        <v>0</v>
      </c>
      <c r="CQ37" s="4" t="n">
        <f aca="false">(CO37-CP37)*AK37</f>
        <v>15.3408</v>
      </c>
      <c r="CR37" s="4" t="n">
        <f aca="false">CO37-CP37+CQ37+AL37</f>
        <v>227.6708</v>
      </c>
      <c r="CS37" s="4" t="n">
        <f aca="false">CR37-(AP37*AH37)-AL37</f>
        <v>120.8108</v>
      </c>
      <c r="CT37" s="5" t="n">
        <f aca="false">IFERROR(CS37/CR37,0)</f>
        <v>0.530638096760762</v>
      </c>
      <c r="CU37" s="6" t="n">
        <f aca="false">IFERROR(BK37/BJ37,0)</f>
        <v>0.112156099670288</v>
      </c>
      <c r="CV37" s="2" t="n">
        <f aca="false">IF(AY37="N/A","N/A",AY37-AX37)</f>
        <v>0</v>
      </c>
    </row>
    <row r="38" customFormat="false" ht="15" hidden="false" customHeight="false" outlineLevel="0" collapsed="false">
      <c r="A38" s="2" t="s">
        <v>854</v>
      </c>
      <c r="B38" s="2" t="s">
        <v>565</v>
      </c>
      <c r="C38" s="2" t="s">
        <v>855</v>
      </c>
      <c r="D38" s="2" t="s">
        <v>856</v>
      </c>
      <c r="E38" s="2" t="s">
        <v>857</v>
      </c>
      <c r="F38" s="2" t="s">
        <v>184</v>
      </c>
      <c r="G38" s="2" t="n">
        <v>36</v>
      </c>
      <c r="H38" s="3" t="n">
        <v>32647</v>
      </c>
      <c r="I38" s="2" t="s">
        <v>106</v>
      </c>
      <c r="J38" s="2" t="s">
        <v>185</v>
      </c>
      <c r="K38" s="2" t="s">
        <v>186</v>
      </c>
      <c r="L38" s="2" t="s">
        <v>187</v>
      </c>
      <c r="M38" s="2" t="s">
        <v>858</v>
      </c>
      <c r="N38" s="3" t="n">
        <v>45208</v>
      </c>
      <c r="O38" s="2" t="s">
        <v>859</v>
      </c>
      <c r="P38" s="2" t="n">
        <v>780</v>
      </c>
      <c r="Q38" s="2" t="s">
        <v>860</v>
      </c>
      <c r="R38" s="2" t="s">
        <v>113</v>
      </c>
      <c r="S38" s="2" t="s">
        <v>114</v>
      </c>
      <c r="T38" s="2" t="s">
        <v>115</v>
      </c>
      <c r="U38" s="2" t="s">
        <v>130</v>
      </c>
      <c r="V38" s="2" t="s">
        <v>117</v>
      </c>
      <c r="W38" s="2" t="s">
        <v>117</v>
      </c>
      <c r="X38" s="2" t="s">
        <v>861</v>
      </c>
      <c r="Y38" s="3" t="n">
        <v>45430</v>
      </c>
      <c r="Z38" s="2" t="s">
        <v>862</v>
      </c>
      <c r="AA38" s="2" t="s">
        <v>121</v>
      </c>
      <c r="AB38" s="2" t="s">
        <v>342</v>
      </c>
      <c r="AC38" s="2" t="s">
        <v>863</v>
      </c>
      <c r="AD38" s="2" t="s">
        <v>795</v>
      </c>
      <c r="AE38" s="2" t="s">
        <v>625</v>
      </c>
      <c r="AF38" s="2" t="s">
        <v>864</v>
      </c>
      <c r="AG38" s="2" t="s">
        <v>865</v>
      </c>
      <c r="AH38" s="2" t="n">
        <v>2</v>
      </c>
      <c r="AI38" s="4" t="n">
        <v>128.65</v>
      </c>
      <c r="AJ38" s="5" t="n">
        <v>0</v>
      </c>
      <c r="AK38" s="5" t="n">
        <v>0.08</v>
      </c>
      <c r="AL38" s="4" t="n">
        <v>12.37</v>
      </c>
      <c r="AM38" s="2" t="s">
        <v>419</v>
      </c>
      <c r="AN38" s="2" t="s">
        <v>475</v>
      </c>
      <c r="AO38" s="2" t="s">
        <v>215</v>
      </c>
      <c r="AP38" s="4" t="n">
        <v>57.89</v>
      </c>
      <c r="AQ38" s="2" t="s">
        <v>866</v>
      </c>
      <c r="AR38" s="2" t="s">
        <v>867</v>
      </c>
      <c r="AS38" s="2" t="s">
        <v>186</v>
      </c>
      <c r="AT38" s="2" t="s">
        <v>106</v>
      </c>
      <c r="AU38" s="2" t="s">
        <v>251</v>
      </c>
      <c r="AV38" s="2" t="s">
        <v>173</v>
      </c>
      <c r="AW38" s="2" t="s">
        <v>868</v>
      </c>
      <c r="AX38" s="3" t="n">
        <v>45435</v>
      </c>
      <c r="AY38" s="2" t="s">
        <v>113</v>
      </c>
      <c r="AZ38" s="2" t="s">
        <v>203</v>
      </c>
      <c r="BA38" s="2" t="s">
        <v>118</v>
      </c>
      <c r="BB38" s="2" t="s">
        <v>113</v>
      </c>
      <c r="BC38" s="2" t="s">
        <v>113</v>
      </c>
      <c r="BD38" s="2" t="s">
        <v>118</v>
      </c>
      <c r="BE38" s="2" t="s">
        <v>113</v>
      </c>
      <c r="BF38" s="2" t="s">
        <v>226</v>
      </c>
      <c r="BG38" s="2" t="s">
        <v>767</v>
      </c>
      <c r="BH38" s="2" t="s">
        <v>869</v>
      </c>
      <c r="BI38" s="4" t="n">
        <v>54.29</v>
      </c>
      <c r="BJ38" s="2" t="n">
        <v>12968</v>
      </c>
      <c r="BK38" s="2" t="n">
        <v>1007</v>
      </c>
      <c r="BL38" s="2" t="s">
        <v>113</v>
      </c>
      <c r="BM38" s="2" t="s">
        <v>118</v>
      </c>
      <c r="BN38" s="2" t="s">
        <v>141</v>
      </c>
      <c r="BO38" s="2" t="s">
        <v>142</v>
      </c>
      <c r="BP38" s="2" t="s">
        <v>823</v>
      </c>
      <c r="BQ38" s="2" t="n">
        <v>6</v>
      </c>
      <c r="BR38" s="2" t="n">
        <v>11</v>
      </c>
      <c r="BS38" s="2" t="s">
        <v>118</v>
      </c>
      <c r="BT38" s="2" t="n">
        <v>0</v>
      </c>
      <c r="BU38" s="2" t="n">
        <v>29.8</v>
      </c>
      <c r="BV38" s="2" t="n">
        <v>28</v>
      </c>
      <c r="BW38" s="3" t="n">
        <v>45637</v>
      </c>
      <c r="BX38" s="2" t="n">
        <v>4</v>
      </c>
      <c r="BY38" s="2" t="n">
        <v>33</v>
      </c>
      <c r="BZ38" s="2" t="s">
        <v>118</v>
      </c>
      <c r="CA38" s="2" t="n">
        <v>-81</v>
      </c>
      <c r="CB38" s="2" t="n">
        <v>2</v>
      </c>
      <c r="CC38" s="2" t="n">
        <v>3</v>
      </c>
      <c r="CD38" s="2" t="n">
        <v>37.4</v>
      </c>
      <c r="CE38" s="4" t="n">
        <v>4209.47</v>
      </c>
      <c r="CF38" s="5" t="n">
        <v>93.6</v>
      </c>
      <c r="CG38" s="2" t="n">
        <v>677</v>
      </c>
      <c r="CH38" s="2" t="s">
        <v>329</v>
      </c>
      <c r="CI38" s="2" t="s">
        <v>117</v>
      </c>
      <c r="CJ38" s="2" t="n">
        <v>4</v>
      </c>
      <c r="CK38" s="2" t="n">
        <v>12</v>
      </c>
      <c r="CL38" s="4" t="n">
        <v>399.66</v>
      </c>
      <c r="CM38" s="2" t="n">
        <v>128</v>
      </c>
      <c r="CN38" s="2" t="s">
        <v>117</v>
      </c>
      <c r="CO38" s="4" t="n">
        <f aca="false">AH38*AI38</f>
        <v>257.3</v>
      </c>
      <c r="CP38" s="4" t="n">
        <f aca="false">CO38*AJ38</f>
        <v>0</v>
      </c>
      <c r="CQ38" s="4" t="n">
        <f aca="false">(CO38-CP38)*AK38</f>
        <v>20.584</v>
      </c>
      <c r="CR38" s="4" t="n">
        <f aca="false">CO38-CP38+CQ38+AL38</f>
        <v>290.254</v>
      </c>
      <c r="CS38" s="4" t="n">
        <f aca="false">CR38-(AP38*AH38)-AL38</f>
        <v>162.104</v>
      </c>
      <c r="CT38" s="5" t="n">
        <f aca="false">IFERROR(CS38/CR38,0)</f>
        <v>0.558490150006546</v>
      </c>
      <c r="CU38" s="6" t="n">
        <f aca="false">IFERROR(BK38/BJ38,0)</f>
        <v>0.077652683528686</v>
      </c>
      <c r="CV38" s="2" t="str">
        <f aca="false">IF(AY38="N/A","N/A",AY38-AX38)</f>
        <v>N/A</v>
      </c>
    </row>
    <row r="39" customFormat="false" ht="15" hidden="false" customHeight="false" outlineLevel="0" collapsed="false">
      <c r="A39" s="2" t="s">
        <v>870</v>
      </c>
      <c r="B39" s="2" t="s">
        <v>871</v>
      </c>
      <c r="C39" s="2" t="s">
        <v>872</v>
      </c>
      <c r="D39" s="2" t="s">
        <v>873</v>
      </c>
      <c r="E39" s="2" t="s">
        <v>874</v>
      </c>
      <c r="F39" s="2" t="s">
        <v>105</v>
      </c>
      <c r="G39" s="2" t="n">
        <v>21</v>
      </c>
      <c r="H39" s="3" t="n">
        <v>38189</v>
      </c>
      <c r="I39" s="2" t="s">
        <v>487</v>
      </c>
      <c r="J39" s="2" t="s">
        <v>488</v>
      </c>
      <c r="K39" s="2" t="s">
        <v>489</v>
      </c>
      <c r="L39" s="2" t="s">
        <v>490</v>
      </c>
      <c r="M39" s="2" t="s">
        <v>875</v>
      </c>
      <c r="N39" s="3" t="n">
        <v>44060</v>
      </c>
      <c r="O39" s="2" t="s">
        <v>311</v>
      </c>
      <c r="P39" s="2" t="n">
        <v>747</v>
      </c>
      <c r="Q39" s="2" t="s">
        <v>876</v>
      </c>
      <c r="R39" s="2" t="s">
        <v>877</v>
      </c>
      <c r="S39" s="2" t="s">
        <v>114</v>
      </c>
      <c r="T39" s="2" t="s">
        <v>115</v>
      </c>
      <c r="U39" s="2" t="s">
        <v>271</v>
      </c>
      <c r="V39" s="2" t="s">
        <v>117</v>
      </c>
      <c r="W39" s="2" t="s">
        <v>118</v>
      </c>
      <c r="X39" s="2" t="s">
        <v>878</v>
      </c>
      <c r="Y39" s="3" t="n">
        <v>46012</v>
      </c>
      <c r="Z39" s="2" t="s">
        <v>879</v>
      </c>
      <c r="AA39" s="2" t="s">
        <v>161</v>
      </c>
      <c r="AB39" s="2" t="s">
        <v>342</v>
      </c>
      <c r="AC39" s="2" t="s">
        <v>880</v>
      </c>
      <c r="AD39" s="2" t="s">
        <v>344</v>
      </c>
      <c r="AE39" s="2" t="s">
        <v>345</v>
      </c>
      <c r="AF39" s="2" t="s">
        <v>881</v>
      </c>
      <c r="AG39" s="2" t="s">
        <v>727</v>
      </c>
      <c r="AH39" s="2" t="n">
        <v>1</v>
      </c>
      <c r="AI39" s="4" t="n">
        <v>264.88</v>
      </c>
      <c r="AJ39" s="5" t="n">
        <v>0.05</v>
      </c>
      <c r="AK39" s="5" t="n">
        <v>0.08</v>
      </c>
      <c r="AL39" s="4" t="n">
        <v>21.5</v>
      </c>
      <c r="AM39" s="2" t="s">
        <v>221</v>
      </c>
      <c r="AN39" s="2" t="s">
        <v>248</v>
      </c>
      <c r="AO39" s="2" t="s">
        <v>271</v>
      </c>
      <c r="AP39" s="4" t="n">
        <v>158.93</v>
      </c>
      <c r="AQ39" s="2" t="s">
        <v>882</v>
      </c>
      <c r="AR39" s="2" t="s">
        <v>883</v>
      </c>
      <c r="AS39" s="2" t="s">
        <v>489</v>
      </c>
      <c r="AT39" s="2" t="s">
        <v>487</v>
      </c>
      <c r="AU39" s="2" t="s">
        <v>172</v>
      </c>
      <c r="AV39" s="2" t="s">
        <v>278</v>
      </c>
      <c r="AW39" s="2" t="s">
        <v>884</v>
      </c>
      <c r="AX39" s="3" t="n">
        <v>46022</v>
      </c>
      <c r="AY39" s="3" t="n">
        <v>46027</v>
      </c>
      <c r="AZ39" s="2" t="s">
        <v>203</v>
      </c>
      <c r="BA39" s="2" t="s">
        <v>118</v>
      </c>
      <c r="BB39" s="2" t="s">
        <v>113</v>
      </c>
      <c r="BC39" s="2" t="s">
        <v>113</v>
      </c>
      <c r="BD39" s="2" t="s">
        <v>118</v>
      </c>
      <c r="BE39" s="2" t="s">
        <v>113</v>
      </c>
      <c r="BF39" s="2" t="s">
        <v>226</v>
      </c>
      <c r="BG39" s="2" t="s">
        <v>302</v>
      </c>
      <c r="BH39" s="2" t="s">
        <v>885</v>
      </c>
      <c r="BI39" s="4" t="n">
        <v>396.58</v>
      </c>
      <c r="BJ39" s="2" t="n">
        <v>4051</v>
      </c>
      <c r="BK39" s="2" t="n">
        <v>437</v>
      </c>
      <c r="BL39" s="2" t="s">
        <v>853</v>
      </c>
      <c r="BM39" s="2" t="s">
        <v>117</v>
      </c>
      <c r="BN39" s="2" t="s">
        <v>304</v>
      </c>
      <c r="BO39" s="2" t="s">
        <v>178</v>
      </c>
      <c r="BP39" s="2" t="s">
        <v>143</v>
      </c>
      <c r="BQ39" s="2" t="n">
        <v>27.2</v>
      </c>
      <c r="BR39" s="2" t="n">
        <v>39</v>
      </c>
      <c r="BS39" s="2" t="s">
        <v>118</v>
      </c>
      <c r="BT39" s="2" t="n">
        <v>0</v>
      </c>
      <c r="BU39" s="2" t="n">
        <v>25.6</v>
      </c>
      <c r="BV39" s="2" t="n">
        <v>43</v>
      </c>
      <c r="BW39" s="3" t="n">
        <v>46016</v>
      </c>
      <c r="BX39" s="2" t="n">
        <v>4</v>
      </c>
      <c r="BY39" s="2" t="n">
        <v>52</v>
      </c>
      <c r="BZ39" s="2" t="s">
        <v>118</v>
      </c>
      <c r="CA39" s="2" t="n">
        <v>87</v>
      </c>
      <c r="CB39" s="2" t="n">
        <v>2</v>
      </c>
      <c r="CC39" s="2" t="n">
        <v>0</v>
      </c>
      <c r="CD39" s="2" t="n">
        <v>0</v>
      </c>
      <c r="CE39" s="4" t="n">
        <v>4734.6</v>
      </c>
      <c r="CF39" s="5" t="n">
        <v>88.1</v>
      </c>
      <c r="CG39" s="2" t="n">
        <v>440</v>
      </c>
      <c r="CH39" s="2" t="s">
        <v>144</v>
      </c>
      <c r="CI39" s="2" t="s">
        <v>117</v>
      </c>
      <c r="CJ39" s="2" t="n">
        <v>6</v>
      </c>
      <c r="CK39" s="2" t="n">
        <v>38</v>
      </c>
      <c r="CL39" s="4" t="n">
        <v>394.78</v>
      </c>
      <c r="CM39" s="2" t="n">
        <v>122</v>
      </c>
      <c r="CN39" s="2" t="s">
        <v>118</v>
      </c>
      <c r="CO39" s="4" t="n">
        <f aca="false">AH39*AI39</f>
        <v>264.88</v>
      </c>
      <c r="CP39" s="4" t="n">
        <f aca="false">CO39*AJ39</f>
        <v>13.244</v>
      </c>
      <c r="CQ39" s="4" t="n">
        <f aca="false">(CO39-CP39)*AK39</f>
        <v>20.13088</v>
      </c>
      <c r="CR39" s="4" t="n">
        <f aca="false">CO39-CP39+CQ39+AL39</f>
        <v>293.26688</v>
      </c>
      <c r="CS39" s="4" t="n">
        <f aca="false">CR39-(AP39*AH39)-AL39</f>
        <v>112.83688</v>
      </c>
      <c r="CT39" s="5" t="n">
        <f aca="false">IFERROR(CS39/CR39,0)</f>
        <v>0.38475834707281</v>
      </c>
      <c r="CU39" s="6" t="n">
        <f aca="false">IFERROR(BK39/BJ39,0)</f>
        <v>0.107874598864478</v>
      </c>
      <c r="CV39" s="2" t="n">
        <f aca="false">IF(AY39="N/A","N/A",AY39-AX39)</f>
        <v>5</v>
      </c>
    </row>
    <row r="40" customFormat="false" ht="15" hidden="false" customHeight="false" outlineLevel="0" collapsed="false">
      <c r="A40" s="2" t="s">
        <v>886</v>
      </c>
      <c r="B40" s="2" t="s">
        <v>887</v>
      </c>
      <c r="C40" s="2" t="s">
        <v>888</v>
      </c>
      <c r="D40" s="2" t="s">
        <v>889</v>
      </c>
      <c r="E40" s="2" t="s">
        <v>890</v>
      </c>
      <c r="F40" s="2" t="s">
        <v>150</v>
      </c>
      <c r="G40" s="2" t="n">
        <v>58</v>
      </c>
      <c r="H40" s="3" t="n">
        <v>24748</v>
      </c>
      <c r="I40" s="2" t="s">
        <v>335</v>
      </c>
      <c r="J40" s="2" t="s">
        <v>336</v>
      </c>
      <c r="K40" s="2" t="s">
        <v>336</v>
      </c>
      <c r="L40" s="2" t="s">
        <v>337</v>
      </c>
      <c r="M40" s="2" t="s">
        <v>891</v>
      </c>
      <c r="N40" s="3" t="n">
        <v>43150</v>
      </c>
      <c r="O40" s="2" t="s">
        <v>859</v>
      </c>
      <c r="P40" s="2" t="n">
        <v>2592</v>
      </c>
      <c r="Q40" s="2" t="s">
        <v>892</v>
      </c>
      <c r="R40" s="2" t="s">
        <v>113</v>
      </c>
      <c r="S40" s="2" t="s">
        <v>114</v>
      </c>
      <c r="T40" s="2" t="s">
        <v>157</v>
      </c>
      <c r="U40" s="2" t="s">
        <v>116</v>
      </c>
      <c r="V40" s="2" t="s">
        <v>117</v>
      </c>
      <c r="W40" s="2" t="s">
        <v>118</v>
      </c>
      <c r="X40" s="2" t="s">
        <v>893</v>
      </c>
      <c r="Y40" s="3" t="n">
        <v>45427</v>
      </c>
      <c r="Z40" s="2" t="s">
        <v>894</v>
      </c>
      <c r="AA40" s="2" t="s">
        <v>414</v>
      </c>
      <c r="AB40" s="2" t="s">
        <v>162</v>
      </c>
      <c r="AC40" s="2" t="s">
        <v>895</v>
      </c>
      <c r="AD40" s="2" t="s">
        <v>896</v>
      </c>
      <c r="AE40" s="2" t="s">
        <v>295</v>
      </c>
      <c r="AF40" s="2" t="s">
        <v>897</v>
      </c>
      <c r="AG40" s="2" t="s">
        <v>497</v>
      </c>
      <c r="AH40" s="2" t="n">
        <v>5</v>
      </c>
      <c r="AI40" s="4" t="n">
        <v>63.05</v>
      </c>
      <c r="AJ40" s="5" t="n">
        <v>0.25</v>
      </c>
      <c r="AK40" s="5" t="n">
        <v>0.08</v>
      </c>
      <c r="AL40" s="4" t="n">
        <v>17.47</v>
      </c>
      <c r="AM40" s="2" t="s">
        <v>128</v>
      </c>
      <c r="AN40" s="2" t="s">
        <v>557</v>
      </c>
      <c r="AO40" s="2" t="s">
        <v>271</v>
      </c>
      <c r="AP40" s="4" t="n">
        <v>25.22</v>
      </c>
      <c r="AQ40" s="2" t="s">
        <v>898</v>
      </c>
      <c r="AR40" s="2" t="s">
        <v>899</v>
      </c>
      <c r="AS40" s="2" t="s">
        <v>336</v>
      </c>
      <c r="AT40" s="2" t="s">
        <v>335</v>
      </c>
      <c r="AU40" s="2" t="s">
        <v>133</v>
      </c>
      <c r="AV40" s="2" t="s">
        <v>201</v>
      </c>
      <c r="AW40" s="2" t="s">
        <v>900</v>
      </c>
      <c r="AX40" s="3" t="n">
        <v>45430</v>
      </c>
      <c r="AY40" s="2" t="s">
        <v>113</v>
      </c>
      <c r="AZ40" s="2" t="s">
        <v>136</v>
      </c>
      <c r="BA40" s="2" t="s">
        <v>117</v>
      </c>
      <c r="BB40" s="2" t="s">
        <v>901</v>
      </c>
      <c r="BC40" s="3" t="n">
        <v>45438</v>
      </c>
      <c r="BD40" s="2" t="s">
        <v>118</v>
      </c>
      <c r="BE40" s="2" t="s">
        <v>254</v>
      </c>
      <c r="BF40" s="2" t="s">
        <v>280</v>
      </c>
      <c r="BG40" s="2" t="s">
        <v>679</v>
      </c>
      <c r="BH40" s="2" t="s">
        <v>902</v>
      </c>
      <c r="BI40" s="4" t="n">
        <v>11.27</v>
      </c>
      <c r="BJ40" s="2" t="n">
        <v>1405</v>
      </c>
      <c r="BK40" s="2" t="n">
        <v>20</v>
      </c>
      <c r="BL40" s="2" t="s">
        <v>481</v>
      </c>
      <c r="BM40" s="2" t="s">
        <v>117</v>
      </c>
      <c r="BN40" s="2" t="s">
        <v>141</v>
      </c>
      <c r="BO40" s="2" t="s">
        <v>142</v>
      </c>
      <c r="BP40" s="2" t="s">
        <v>259</v>
      </c>
      <c r="BQ40" s="2" t="n">
        <v>42.9</v>
      </c>
      <c r="BR40" s="2" t="n">
        <v>34</v>
      </c>
      <c r="BS40" s="2" t="s">
        <v>118</v>
      </c>
      <c r="BT40" s="2" t="n">
        <v>8</v>
      </c>
      <c r="BU40" s="2" t="n">
        <v>5.8</v>
      </c>
      <c r="BV40" s="2" t="n">
        <v>9</v>
      </c>
      <c r="BW40" s="3" t="n">
        <v>45702</v>
      </c>
      <c r="BX40" s="2" t="n">
        <v>5</v>
      </c>
      <c r="BY40" s="2" t="n">
        <v>30</v>
      </c>
      <c r="BZ40" s="2" t="s">
        <v>118</v>
      </c>
      <c r="CA40" s="2" t="n">
        <v>8</v>
      </c>
      <c r="CB40" s="2" t="n">
        <v>7</v>
      </c>
      <c r="CC40" s="2" t="n">
        <v>0</v>
      </c>
      <c r="CD40" s="2" t="n">
        <v>0</v>
      </c>
      <c r="CE40" s="4" t="n">
        <v>9626.03</v>
      </c>
      <c r="CF40" s="5" t="n">
        <v>53.8</v>
      </c>
      <c r="CG40" s="2" t="n">
        <v>456</v>
      </c>
      <c r="CH40" s="2" t="s">
        <v>283</v>
      </c>
      <c r="CI40" s="2" t="s">
        <v>117</v>
      </c>
      <c r="CJ40" s="2" t="n">
        <v>6</v>
      </c>
      <c r="CK40" s="2" t="n">
        <v>35</v>
      </c>
      <c r="CL40" s="4" t="n">
        <v>323.84</v>
      </c>
      <c r="CM40" s="2" t="n">
        <v>134</v>
      </c>
      <c r="CN40" s="2" t="s">
        <v>118</v>
      </c>
      <c r="CO40" s="4" t="n">
        <f aca="false">AH40*AI40</f>
        <v>315.25</v>
      </c>
      <c r="CP40" s="4" t="n">
        <f aca="false">CO40*AJ40</f>
        <v>78.8125</v>
      </c>
      <c r="CQ40" s="4" t="n">
        <f aca="false">(CO40-CP40)*AK40</f>
        <v>18.915</v>
      </c>
      <c r="CR40" s="4" t="n">
        <f aca="false">CO40-CP40+CQ40+AL40</f>
        <v>272.8225</v>
      </c>
      <c r="CS40" s="4" t="n">
        <f aca="false">CR40-(AP40*AH40)-AL40</f>
        <v>129.2525</v>
      </c>
      <c r="CT40" s="5" t="n">
        <f aca="false">IFERROR(CS40/CR40,0)</f>
        <v>0.47376041198948</v>
      </c>
      <c r="CU40" s="6" t="n">
        <f aca="false">IFERROR(BK40/BJ40,0)</f>
        <v>0.0142348754448399</v>
      </c>
      <c r="CV40" s="2" t="str">
        <f aca="false">IF(AY40="N/A","N/A",AY40-AX40)</f>
        <v>N/A</v>
      </c>
    </row>
    <row r="41" customFormat="false" ht="15" hidden="false" customHeight="false" outlineLevel="0" collapsed="false">
      <c r="A41" s="2" t="s">
        <v>903</v>
      </c>
      <c r="B41" s="2" t="s">
        <v>904</v>
      </c>
      <c r="C41" s="2" t="s">
        <v>905</v>
      </c>
      <c r="D41" s="2" t="s">
        <v>906</v>
      </c>
      <c r="E41" s="2" t="s">
        <v>907</v>
      </c>
      <c r="F41" s="2" t="s">
        <v>105</v>
      </c>
      <c r="G41" s="2" t="n">
        <v>49</v>
      </c>
      <c r="H41" s="3" t="n">
        <v>27989</v>
      </c>
      <c r="I41" s="2" t="s">
        <v>526</v>
      </c>
      <c r="J41" s="2" t="s">
        <v>700</v>
      </c>
      <c r="K41" s="2" t="s">
        <v>701</v>
      </c>
      <c r="L41" s="2" t="s">
        <v>702</v>
      </c>
      <c r="M41" s="2" t="s">
        <v>908</v>
      </c>
      <c r="N41" s="3" t="n">
        <v>43328</v>
      </c>
      <c r="O41" s="2" t="s">
        <v>311</v>
      </c>
      <c r="P41" s="2" t="n">
        <v>4643</v>
      </c>
      <c r="Q41" s="2" t="s">
        <v>909</v>
      </c>
      <c r="R41" s="2" t="s">
        <v>910</v>
      </c>
      <c r="S41" s="2" t="s">
        <v>190</v>
      </c>
      <c r="T41" s="2" t="s">
        <v>365</v>
      </c>
      <c r="U41" s="2" t="s">
        <v>271</v>
      </c>
      <c r="V41" s="2" t="s">
        <v>118</v>
      </c>
      <c r="W41" s="2" t="s">
        <v>118</v>
      </c>
      <c r="X41" s="2" t="s">
        <v>911</v>
      </c>
      <c r="Y41" s="3" t="n">
        <v>45462</v>
      </c>
      <c r="Z41" s="2" t="s">
        <v>912</v>
      </c>
      <c r="AA41" s="2" t="s">
        <v>161</v>
      </c>
      <c r="AB41" s="2" t="s">
        <v>342</v>
      </c>
      <c r="AC41" s="2" t="s">
        <v>913</v>
      </c>
      <c r="AD41" s="2" t="s">
        <v>608</v>
      </c>
      <c r="AE41" s="2" t="s">
        <v>317</v>
      </c>
      <c r="AF41" s="2" t="s">
        <v>371</v>
      </c>
      <c r="AG41" s="2" t="s">
        <v>372</v>
      </c>
      <c r="AH41" s="2" t="n">
        <v>5</v>
      </c>
      <c r="AI41" s="4" t="n">
        <v>443.07</v>
      </c>
      <c r="AJ41" s="5" t="n">
        <v>0</v>
      </c>
      <c r="AK41" s="5" t="n">
        <v>0.08</v>
      </c>
      <c r="AL41" s="4" t="n">
        <v>19.34</v>
      </c>
      <c r="AM41" s="2" t="s">
        <v>419</v>
      </c>
      <c r="AN41" s="2" t="s">
        <v>129</v>
      </c>
      <c r="AO41" s="2" t="s">
        <v>222</v>
      </c>
      <c r="AP41" s="4" t="n">
        <v>221.53</v>
      </c>
      <c r="AQ41" s="2" t="s">
        <v>914</v>
      </c>
      <c r="AR41" s="2" t="s">
        <v>915</v>
      </c>
      <c r="AS41" s="2" t="s">
        <v>701</v>
      </c>
      <c r="AT41" s="2" t="s">
        <v>526</v>
      </c>
      <c r="AU41" s="2" t="s">
        <v>322</v>
      </c>
      <c r="AV41" s="2" t="s">
        <v>134</v>
      </c>
      <c r="AW41" s="2" t="s">
        <v>916</v>
      </c>
      <c r="AX41" s="3" t="n">
        <v>45467</v>
      </c>
      <c r="AY41" s="3" t="n">
        <v>45465</v>
      </c>
      <c r="AZ41" s="2" t="s">
        <v>203</v>
      </c>
      <c r="BA41" s="2" t="s">
        <v>118</v>
      </c>
      <c r="BB41" s="2" t="s">
        <v>113</v>
      </c>
      <c r="BC41" s="2" t="s">
        <v>113</v>
      </c>
      <c r="BD41" s="2" t="s">
        <v>118</v>
      </c>
      <c r="BE41" s="2" t="s">
        <v>113</v>
      </c>
      <c r="BF41" s="2" t="s">
        <v>137</v>
      </c>
      <c r="BG41" s="2" t="s">
        <v>917</v>
      </c>
      <c r="BH41" s="2" t="s">
        <v>918</v>
      </c>
      <c r="BI41" s="4" t="n">
        <v>234.64</v>
      </c>
      <c r="BJ41" s="2" t="n">
        <v>8113</v>
      </c>
      <c r="BK41" s="2" t="n">
        <v>99</v>
      </c>
      <c r="BL41" s="2" t="s">
        <v>113</v>
      </c>
      <c r="BM41" s="2" t="s">
        <v>118</v>
      </c>
      <c r="BN41" s="2" t="s">
        <v>304</v>
      </c>
      <c r="BO41" s="2" t="s">
        <v>258</v>
      </c>
      <c r="BP41" s="2" t="s">
        <v>143</v>
      </c>
      <c r="BQ41" s="2" t="n">
        <v>34.9</v>
      </c>
      <c r="BR41" s="2" t="n">
        <v>13</v>
      </c>
      <c r="BS41" s="2" t="s">
        <v>118</v>
      </c>
      <c r="BT41" s="2" t="n">
        <v>17</v>
      </c>
      <c r="BU41" s="2" t="n">
        <v>23.1</v>
      </c>
      <c r="BV41" s="2" t="n">
        <v>16</v>
      </c>
      <c r="BW41" s="3" t="n">
        <v>45616</v>
      </c>
      <c r="BX41" s="2" t="n">
        <v>3</v>
      </c>
      <c r="BY41" s="2" t="n">
        <v>1</v>
      </c>
      <c r="BZ41" s="2" t="s">
        <v>118</v>
      </c>
      <c r="CA41" s="2" t="n">
        <v>-91</v>
      </c>
      <c r="CB41" s="2" t="n">
        <v>9</v>
      </c>
      <c r="CC41" s="2" t="n">
        <v>5</v>
      </c>
      <c r="CD41" s="2" t="n">
        <v>53.5</v>
      </c>
      <c r="CE41" s="4" t="n">
        <v>6319.57</v>
      </c>
      <c r="CF41" s="5" t="n">
        <v>32.2</v>
      </c>
      <c r="CG41" s="2" t="n">
        <v>726</v>
      </c>
      <c r="CH41" s="2" t="s">
        <v>283</v>
      </c>
      <c r="CI41" s="2" t="s">
        <v>117</v>
      </c>
      <c r="CJ41" s="2" t="n">
        <v>5</v>
      </c>
      <c r="CK41" s="2" t="n">
        <v>2</v>
      </c>
      <c r="CL41" s="4" t="n">
        <v>571.57</v>
      </c>
      <c r="CM41" s="2" t="n">
        <v>0</v>
      </c>
      <c r="CN41" s="2" t="s">
        <v>118</v>
      </c>
      <c r="CO41" s="4" t="n">
        <f aca="false">AH41*AI41</f>
        <v>2215.35</v>
      </c>
      <c r="CP41" s="4" t="n">
        <f aca="false">CO41*AJ41</f>
        <v>0</v>
      </c>
      <c r="CQ41" s="4" t="n">
        <f aca="false">(CO41-CP41)*AK41</f>
        <v>177.228</v>
      </c>
      <c r="CR41" s="4" t="n">
        <f aca="false">CO41-CP41+CQ41+AL41</f>
        <v>2411.918</v>
      </c>
      <c r="CS41" s="4" t="n">
        <f aca="false">CR41-(AP41*AH41)-AL41</f>
        <v>1284.928</v>
      </c>
      <c r="CT41" s="5" t="n">
        <f aca="false">IFERROR(CS41/CR41,0)</f>
        <v>0.532741162842186</v>
      </c>
      <c r="CU41" s="6" t="n">
        <f aca="false">IFERROR(BK41/BJ41,0)</f>
        <v>0.0122026377418957</v>
      </c>
      <c r="CV41" s="2" t="n">
        <f aca="false">IF(AY41="N/A","N/A",AY41-AX41)</f>
        <v>-2</v>
      </c>
    </row>
    <row r="42" customFormat="false" ht="15" hidden="false" customHeight="false" outlineLevel="0" collapsed="false">
      <c r="A42" s="2" t="s">
        <v>919</v>
      </c>
      <c r="B42" s="2" t="s">
        <v>920</v>
      </c>
      <c r="C42" s="2" t="s">
        <v>754</v>
      </c>
      <c r="D42" s="2" t="s">
        <v>921</v>
      </c>
      <c r="E42" s="2" t="s">
        <v>922</v>
      </c>
      <c r="F42" s="2" t="s">
        <v>184</v>
      </c>
      <c r="G42" s="2" t="n">
        <v>37</v>
      </c>
      <c r="H42" s="3" t="n">
        <v>32180</v>
      </c>
      <c r="I42" s="2" t="s">
        <v>335</v>
      </c>
      <c r="J42" s="2" t="s">
        <v>336</v>
      </c>
      <c r="K42" s="2" t="s">
        <v>336</v>
      </c>
      <c r="L42" s="2" t="s">
        <v>337</v>
      </c>
      <c r="M42" s="2" t="s">
        <v>923</v>
      </c>
      <c r="N42" s="3" t="n">
        <v>44076</v>
      </c>
      <c r="O42" s="2" t="s">
        <v>311</v>
      </c>
      <c r="P42" s="2" t="n">
        <v>490</v>
      </c>
      <c r="Q42" s="2" t="s">
        <v>924</v>
      </c>
      <c r="R42" s="2" t="s">
        <v>648</v>
      </c>
      <c r="S42" s="2" t="s">
        <v>114</v>
      </c>
      <c r="T42" s="2" t="s">
        <v>191</v>
      </c>
      <c r="U42" s="2" t="s">
        <v>169</v>
      </c>
      <c r="V42" s="2" t="s">
        <v>117</v>
      </c>
      <c r="W42" s="2" t="s">
        <v>117</v>
      </c>
      <c r="X42" s="2" t="s">
        <v>925</v>
      </c>
      <c r="Y42" s="3" t="n">
        <v>45437</v>
      </c>
      <c r="Z42" s="2" t="s">
        <v>926</v>
      </c>
      <c r="AA42" s="2" t="s">
        <v>368</v>
      </c>
      <c r="AB42" s="2" t="s">
        <v>162</v>
      </c>
      <c r="AC42" s="2" t="s">
        <v>927</v>
      </c>
      <c r="AD42" s="2" t="s">
        <v>928</v>
      </c>
      <c r="AE42" s="2" t="s">
        <v>165</v>
      </c>
      <c r="AF42" s="2" t="s">
        <v>245</v>
      </c>
      <c r="AG42" s="2" t="s">
        <v>929</v>
      </c>
      <c r="AH42" s="2" t="n">
        <v>2</v>
      </c>
      <c r="AI42" s="4" t="n">
        <v>449.88</v>
      </c>
      <c r="AJ42" s="5" t="n">
        <v>0.2</v>
      </c>
      <c r="AK42" s="5" t="n">
        <v>0.08</v>
      </c>
      <c r="AL42" s="4" t="n">
        <v>8.96</v>
      </c>
      <c r="AM42" s="2" t="s">
        <v>168</v>
      </c>
      <c r="AN42" s="2" t="s">
        <v>129</v>
      </c>
      <c r="AO42" s="2" t="s">
        <v>116</v>
      </c>
      <c r="AP42" s="4" t="n">
        <v>224.94</v>
      </c>
      <c r="AQ42" s="2" t="s">
        <v>930</v>
      </c>
      <c r="AR42" s="2" t="s">
        <v>931</v>
      </c>
      <c r="AS42" s="2" t="s">
        <v>336</v>
      </c>
      <c r="AT42" s="2" t="s">
        <v>335</v>
      </c>
      <c r="AU42" s="2" t="s">
        <v>133</v>
      </c>
      <c r="AV42" s="2" t="s">
        <v>134</v>
      </c>
      <c r="AW42" s="2" t="s">
        <v>932</v>
      </c>
      <c r="AX42" s="3" t="n">
        <v>45444</v>
      </c>
      <c r="AY42" s="2" t="s">
        <v>113</v>
      </c>
      <c r="AZ42" s="2" t="s">
        <v>203</v>
      </c>
      <c r="BA42" s="2" t="s">
        <v>117</v>
      </c>
      <c r="BB42" s="2" t="s">
        <v>933</v>
      </c>
      <c r="BC42" s="3" t="n">
        <v>45463</v>
      </c>
      <c r="BD42" s="2" t="s">
        <v>118</v>
      </c>
      <c r="BE42" s="2" t="s">
        <v>378</v>
      </c>
      <c r="BF42" s="2" t="s">
        <v>226</v>
      </c>
      <c r="BG42" s="2" t="s">
        <v>227</v>
      </c>
      <c r="BH42" s="2" t="s">
        <v>934</v>
      </c>
      <c r="BI42" s="4" t="n">
        <v>78.42</v>
      </c>
      <c r="BJ42" s="2" t="n">
        <v>19130</v>
      </c>
      <c r="BK42" s="2" t="n">
        <v>396</v>
      </c>
      <c r="BL42" s="2" t="s">
        <v>113</v>
      </c>
      <c r="BM42" s="2" t="s">
        <v>118</v>
      </c>
      <c r="BN42" s="2" t="s">
        <v>141</v>
      </c>
      <c r="BO42" s="2" t="s">
        <v>258</v>
      </c>
      <c r="BP42" s="2" t="s">
        <v>143</v>
      </c>
      <c r="BQ42" s="2" t="n">
        <v>18.1</v>
      </c>
      <c r="BR42" s="2" t="n">
        <v>4</v>
      </c>
      <c r="BS42" s="2" t="s">
        <v>118</v>
      </c>
      <c r="BT42" s="2" t="n">
        <v>8</v>
      </c>
      <c r="BU42" s="2" t="n">
        <v>24.8</v>
      </c>
      <c r="BV42" s="2" t="n">
        <v>12</v>
      </c>
      <c r="BW42" s="3" t="n">
        <v>45468</v>
      </c>
      <c r="BX42" s="2" t="n">
        <v>5</v>
      </c>
      <c r="BY42" s="2" t="n">
        <v>103</v>
      </c>
      <c r="BZ42" s="2" t="s">
        <v>118</v>
      </c>
      <c r="CA42" s="2" t="n">
        <v>-85</v>
      </c>
      <c r="CB42" s="2" t="n">
        <v>7</v>
      </c>
      <c r="CC42" s="2" t="n">
        <v>5</v>
      </c>
      <c r="CD42" s="2" t="n">
        <v>69.4</v>
      </c>
      <c r="CE42" s="4" t="n">
        <v>3589.74</v>
      </c>
      <c r="CF42" s="5" t="n">
        <v>26.1</v>
      </c>
      <c r="CG42" s="2" t="n">
        <v>622</v>
      </c>
      <c r="CH42" s="2" t="s">
        <v>144</v>
      </c>
      <c r="CI42" s="2" t="s">
        <v>118</v>
      </c>
      <c r="CJ42" s="2" t="n">
        <v>3</v>
      </c>
      <c r="CK42" s="2" t="n">
        <v>13</v>
      </c>
      <c r="CL42" s="4" t="n">
        <v>287.99</v>
      </c>
      <c r="CM42" s="2" t="n">
        <v>71</v>
      </c>
      <c r="CN42" s="2" t="s">
        <v>117</v>
      </c>
      <c r="CO42" s="4" t="n">
        <f aca="false">AH42*AI42</f>
        <v>899.76</v>
      </c>
      <c r="CP42" s="4" t="n">
        <f aca="false">CO42*AJ42</f>
        <v>179.952</v>
      </c>
      <c r="CQ42" s="4" t="n">
        <f aca="false">(CO42-CP42)*AK42</f>
        <v>57.58464</v>
      </c>
      <c r="CR42" s="4" t="n">
        <f aca="false">CO42-CP42+CQ42+AL42</f>
        <v>786.35264</v>
      </c>
      <c r="CS42" s="4" t="n">
        <f aca="false">CR42-(AP42*AH42)-AL42</f>
        <v>327.51264</v>
      </c>
      <c r="CT42" s="5" t="n">
        <f aca="false">IFERROR(CS42/CR42,0)</f>
        <v>0.416495886629185</v>
      </c>
      <c r="CU42" s="6" t="n">
        <f aca="false">IFERROR(BK42/BJ42,0)</f>
        <v>0.0207004704652378</v>
      </c>
      <c r="CV42" s="2" t="str">
        <f aca="false">IF(AY42="N/A","N/A",AY42-AX42)</f>
        <v>N/A</v>
      </c>
    </row>
    <row r="43" customFormat="false" ht="15" hidden="false" customHeight="false" outlineLevel="0" collapsed="false">
      <c r="A43" s="2" t="s">
        <v>470</v>
      </c>
      <c r="B43" s="2" t="s">
        <v>935</v>
      </c>
      <c r="C43" s="2" t="s">
        <v>936</v>
      </c>
      <c r="D43" s="2" t="s">
        <v>937</v>
      </c>
      <c r="E43" s="2" t="s">
        <v>938</v>
      </c>
      <c r="F43" s="2" t="s">
        <v>105</v>
      </c>
      <c r="G43" s="2" t="n">
        <v>26</v>
      </c>
      <c r="H43" s="3" t="n">
        <v>36277</v>
      </c>
      <c r="I43" s="2" t="s">
        <v>526</v>
      </c>
      <c r="J43" s="2" t="s">
        <v>527</v>
      </c>
      <c r="K43" s="2" t="s">
        <v>527</v>
      </c>
      <c r="L43" s="2" t="s">
        <v>528</v>
      </c>
      <c r="M43" s="2" t="s">
        <v>939</v>
      </c>
      <c r="N43" s="3" t="n">
        <v>44625</v>
      </c>
      <c r="O43" s="2" t="s">
        <v>311</v>
      </c>
      <c r="P43" s="2" t="n">
        <v>688</v>
      </c>
      <c r="Q43" s="2" t="s">
        <v>940</v>
      </c>
      <c r="R43" s="2" t="s">
        <v>113</v>
      </c>
      <c r="S43" s="2" t="s">
        <v>114</v>
      </c>
      <c r="T43" s="2" t="s">
        <v>115</v>
      </c>
      <c r="U43" s="2" t="s">
        <v>215</v>
      </c>
      <c r="V43" s="2" t="s">
        <v>117</v>
      </c>
      <c r="W43" s="2" t="s">
        <v>118</v>
      </c>
      <c r="X43" s="2" t="s">
        <v>941</v>
      </c>
      <c r="Y43" s="3" t="n">
        <v>45888</v>
      </c>
      <c r="Z43" s="2" t="s">
        <v>942</v>
      </c>
      <c r="AA43" s="2" t="s">
        <v>368</v>
      </c>
      <c r="AB43" s="2" t="s">
        <v>122</v>
      </c>
      <c r="AC43" s="2" t="s">
        <v>943</v>
      </c>
      <c r="AD43" s="2" t="s">
        <v>124</v>
      </c>
      <c r="AE43" s="2" t="s">
        <v>125</v>
      </c>
      <c r="AF43" s="2" t="s">
        <v>275</v>
      </c>
      <c r="AG43" s="2" t="s">
        <v>127</v>
      </c>
      <c r="AH43" s="2" t="n">
        <v>1</v>
      </c>
      <c r="AI43" s="4" t="n">
        <v>36.08</v>
      </c>
      <c r="AJ43" s="5" t="n">
        <v>0.25</v>
      </c>
      <c r="AK43" s="5" t="n">
        <v>0.08</v>
      </c>
      <c r="AL43" s="4" t="n">
        <v>3.43</v>
      </c>
      <c r="AM43" s="2" t="s">
        <v>168</v>
      </c>
      <c r="AN43" s="2" t="s">
        <v>129</v>
      </c>
      <c r="AO43" s="2" t="s">
        <v>158</v>
      </c>
      <c r="AP43" s="4" t="n">
        <v>12.63</v>
      </c>
      <c r="AQ43" s="2" t="s">
        <v>944</v>
      </c>
      <c r="AR43" s="2" t="s">
        <v>945</v>
      </c>
      <c r="AS43" s="2" t="s">
        <v>527</v>
      </c>
      <c r="AT43" s="2" t="s">
        <v>526</v>
      </c>
      <c r="AU43" s="2" t="s">
        <v>172</v>
      </c>
      <c r="AV43" s="2" t="s">
        <v>351</v>
      </c>
      <c r="AW43" s="2" t="s">
        <v>946</v>
      </c>
      <c r="AX43" s="3" t="n">
        <v>45892</v>
      </c>
      <c r="AY43" s="2" t="s">
        <v>113</v>
      </c>
      <c r="AZ43" s="2" t="s">
        <v>203</v>
      </c>
      <c r="BA43" s="2" t="s">
        <v>117</v>
      </c>
      <c r="BB43" s="2" t="s">
        <v>253</v>
      </c>
      <c r="BC43" s="3" t="n">
        <v>45899</v>
      </c>
      <c r="BD43" s="2" t="s">
        <v>118</v>
      </c>
      <c r="BE43" s="2" t="s">
        <v>113</v>
      </c>
      <c r="BF43" s="2" t="s">
        <v>137</v>
      </c>
      <c r="BG43" s="2" t="s">
        <v>138</v>
      </c>
      <c r="BH43" s="2" t="s">
        <v>947</v>
      </c>
      <c r="BI43" s="4" t="n">
        <v>164.19</v>
      </c>
      <c r="BJ43" s="2" t="n">
        <v>4114</v>
      </c>
      <c r="BK43" s="2" t="n">
        <v>48</v>
      </c>
      <c r="BL43" s="2" t="s">
        <v>715</v>
      </c>
      <c r="BM43" s="2" t="s">
        <v>117</v>
      </c>
      <c r="BN43" s="2" t="s">
        <v>177</v>
      </c>
      <c r="BO43" s="2" t="s">
        <v>207</v>
      </c>
      <c r="BP43" s="2" t="s">
        <v>259</v>
      </c>
      <c r="BQ43" s="2" t="n">
        <v>10.2</v>
      </c>
      <c r="BR43" s="2" t="n">
        <v>18</v>
      </c>
      <c r="BS43" s="2" t="s">
        <v>117</v>
      </c>
      <c r="BT43" s="2" t="n">
        <v>15</v>
      </c>
      <c r="BU43" s="2" t="n">
        <v>16.4</v>
      </c>
      <c r="BV43" s="2" t="n">
        <v>50</v>
      </c>
      <c r="BW43" s="3" t="n">
        <v>45947</v>
      </c>
      <c r="BX43" s="2" t="n">
        <v>4</v>
      </c>
      <c r="BY43" s="2" t="n">
        <v>40</v>
      </c>
      <c r="BZ43" s="2" t="s">
        <v>117</v>
      </c>
      <c r="CA43" s="2" t="n">
        <v>85</v>
      </c>
      <c r="CB43" s="2" t="n">
        <v>7</v>
      </c>
      <c r="CC43" s="2" t="n">
        <v>3</v>
      </c>
      <c r="CD43" s="2" t="n">
        <v>2.6</v>
      </c>
      <c r="CE43" s="4" t="n">
        <v>10264.03</v>
      </c>
      <c r="CF43" s="5" t="n">
        <v>17.3</v>
      </c>
      <c r="CG43" s="2" t="n">
        <v>519</v>
      </c>
      <c r="CH43" s="2" t="s">
        <v>144</v>
      </c>
      <c r="CI43" s="2" t="s">
        <v>117</v>
      </c>
      <c r="CJ43" s="2" t="n">
        <v>8</v>
      </c>
      <c r="CK43" s="2" t="n">
        <v>8</v>
      </c>
      <c r="CL43" s="4" t="n">
        <v>463.15</v>
      </c>
      <c r="CM43" s="2" t="n">
        <v>112</v>
      </c>
      <c r="CN43" s="2" t="s">
        <v>118</v>
      </c>
      <c r="CO43" s="4" t="n">
        <f aca="false">AH43*AI43</f>
        <v>36.08</v>
      </c>
      <c r="CP43" s="4" t="n">
        <f aca="false">CO43*AJ43</f>
        <v>9.02</v>
      </c>
      <c r="CQ43" s="4" t="n">
        <f aca="false">(CO43-CP43)*AK43</f>
        <v>2.1648</v>
      </c>
      <c r="CR43" s="4" t="n">
        <f aca="false">CO43-CP43+CQ43+AL43</f>
        <v>32.6548</v>
      </c>
      <c r="CS43" s="4" t="n">
        <f aca="false">CR43-(AP43*AH43)-AL43</f>
        <v>16.5948</v>
      </c>
      <c r="CT43" s="5" t="n">
        <f aca="false">IFERROR(CS43/CR43,0)</f>
        <v>0.508188688952313</v>
      </c>
      <c r="CU43" s="6" t="n">
        <f aca="false">IFERROR(BK43/BJ43,0)</f>
        <v>0.0116674769081186</v>
      </c>
      <c r="CV43" s="2" t="str">
        <f aca="false">IF(AY43="N/A","N/A",AY43-AX43)</f>
        <v>N/A</v>
      </c>
    </row>
    <row r="44" customFormat="false" ht="15" hidden="false" customHeight="false" outlineLevel="0" collapsed="false">
      <c r="A44" s="2" t="s">
        <v>948</v>
      </c>
      <c r="B44" s="2" t="s">
        <v>841</v>
      </c>
      <c r="C44" s="2" t="s">
        <v>949</v>
      </c>
      <c r="D44" s="2" t="s">
        <v>950</v>
      </c>
      <c r="E44" s="2" t="s">
        <v>951</v>
      </c>
      <c r="F44" s="2" t="s">
        <v>105</v>
      </c>
      <c r="G44" s="2" t="n">
        <v>29</v>
      </c>
      <c r="H44" s="3" t="n">
        <v>35174</v>
      </c>
      <c r="I44" s="2" t="s">
        <v>487</v>
      </c>
      <c r="J44" s="2" t="s">
        <v>546</v>
      </c>
      <c r="K44" s="2" t="s">
        <v>547</v>
      </c>
      <c r="L44" s="2" t="s">
        <v>548</v>
      </c>
      <c r="M44" s="2" t="s">
        <v>952</v>
      </c>
      <c r="N44" s="3" t="n">
        <v>44570</v>
      </c>
      <c r="O44" s="2" t="s">
        <v>859</v>
      </c>
      <c r="P44" s="2" t="n">
        <v>231</v>
      </c>
      <c r="Q44" s="2" t="s">
        <v>953</v>
      </c>
      <c r="R44" s="2" t="s">
        <v>113</v>
      </c>
      <c r="S44" s="2" t="s">
        <v>114</v>
      </c>
      <c r="T44" s="2" t="s">
        <v>157</v>
      </c>
      <c r="U44" s="2" t="s">
        <v>169</v>
      </c>
      <c r="V44" s="2" t="s">
        <v>117</v>
      </c>
      <c r="W44" s="2" t="s">
        <v>118</v>
      </c>
      <c r="X44" s="2" t="s">
        <v>954</v>
      </c>
      <c r="Y44" s="3" t="n">
        <v>46012</v>
      </c>
      <c r="Z44" s="2" t="s">
        <v>955</v>
      </c>
      <c r="AA44" s="2" t="s">
        <v>161</v>
      </c>
      <c r="AB44" s="2" t="s">
        <v>122</v>
      </c>
      <c r="AC44" s="2" t="s">
        <v>956</v>
      </c>
      <c r="AD44" s="2" t="s">
        <v>957</v>
      </c>
      <c r="AE44" s="2" t="s">
        <v>165</v>
      </c>
      <c r="AF44" s="2" t="s">
        <v>245</v>
      </c>
      <c r="AG44" s="2" t="s">
        <v>246</v>
      </c>
      <c r="AH44" s="2" t="n">
        <v>2</v>
      </c>
      <c r="AI44" s="4" t="n">
        <v>286.8</v>
      </c>
      <c r="AJ44" s="5" t="n">
        <v>0.05</v>
      </c>
      <c r="AK44" s="5" t="n">
        <v>0.08</v>
      </c>
      <c r="AL44" s="4" t="n">
        <v>8.07</v>
      </c>
      <c r="AM44" s="2" t="s">
        <v>168</v>
      </c>
      <c r="AN44" s="2" t="s">
        <v>129</v>
      </c>
      <c r="AO44" s="2" t="s">
        <v>116</v>
      </c>
      <c r="AP44" s="4" t="n">
        <v>143.4</v>
      </c>
      <c r="AQ44" s="2" t="s">
        <v>958</v>
      </c>
      <c r="AR44" s="2" t="s">
        <v>959</v>
      </c>
      <c r="AS44" s="2" t="s">
        <v>547</v>
      </c>
      <c r="AT44" s="2" t="s">
        <v>487</v>
      </c>
      <c r="AU44" s="2" t="s">
        <v>322</v>
      </c>
      <c r="AV44" s="2" t="s">
        <v>134</v>
      </c>
      <c r="AW44" s="2" t="s">
        <v>960</v>
      </c>
      <c r="AX44" s="3" t="n">
        <v>46021</v>
      </c>
      <c r="AY44" s="3" t="n">
        <v>46023</v>
      </c>
      <c r="AZ44" s="2" t="s">
        <v>203</v>
      </c>
      <c r="BA44" s="2" t="s">
        <v>117</v>
      </c>
      <c r="BB44" s="2" t="s">
        <v>933</v>
      </c>
      <c r="BC44" s="3" t="n">
        <v>46027</v>
      </c>
      <c r="BD44" s="2" t="s">
        <v>118</v>
      </c>
      <c r="BE44" s="2" t="s">
        <v>961</v>
      </c>
      <c r="BF44" s="2" t="s">
        <v>324</v>
      </c>
      <c r="BG44" s="2" t="s">
        <v>962</v>
      </c>
      <c r="BH44" s="2" t="s">
        <v>963</v>
      </c>
      <c r="BI44" s="4" t="n">
        <v>368.33</v>
      </c>
      <c r="BJ44" s="2" t="n">
        <v>7722</v>
      </c>
      <c r="BK44" s="2" t="n">
        <v>453</v>
      </c>
      <c r="BL44" s="2" t="s">
        <v>964</v>
      </c>
      <c r="BM44" s="2" t="s">
        <v>118</v>
      </c>
      <c r="BN44" s="2" t="s">
        <v>141</v>
      </c>
      <c r="BO44" s="2" t="s">
        <v>258</v>
      </c>
      <c r="BP44" s="2" t="s">
        <v>143</v>
      </c>
      <c r="BQ44" s="2" t="n">
        <v>42.7</v>
      </c>
      <c r="BR44" s="2" t="n">
        <v>37</v>
      </c>
      <c r="BS44" s="2" t="s">
        <v>118</v>
      </c>
      <c r="BT44" s="2" t="n">
        <v>18</v>
      </c>
      <c r="BU44" s="2" t="n">
        <v>1.9</v>
      </c>
      <c r="BV44" s="2" t="n">
        <v>39</v>
      </c>
      <c r="BW44" s="3" t="n">
        <v>46017</v>
      </c>
      <c r="BX44" s="2" t="n">
        <v>4</v>
      </c>
      <c r="BY44" s="2" t="n">
        <v>56</v>
      </c>
      <c r="BZ44" s="2" t="s">
        <v>118</v>
      </c>
      <c r="CA44" s="2" t="n">
        <v>57</v>
      </c>
      <c r="CB44" s="2" t="n">
        <v>4</v>
      </c>
      <c r="CC44" s="2" t="n">
        <v>1</v>
      </c>
      <c r="CD44" s="2" t="n">
        <v>24.9</v>
      </c>
      <c r="CE44" s="4" t="n">
        <v>2703.03</v>
      </c>
      <c r="CF44" s="5" t="n">
        <v>80.2</v>
      </c>
      <c r="CG44" s="2" t="n">
        <v>631</v>
      </c>
      <c r="CH44" s="2" t="s">
        <v>283</v>
      </c>
      <c r="CI44" s="2" t="s">
        <v>118</v>
      </c>
      <c r="CJ44" s="2" t="n">
        <v>2</v>
      </c>
      <c r="CK44" s="2" t="n">
        <v>43</v>
      </c>
      <c r="CL44" s="4" t="n">
        <v>452.3</v>
      </c>
      <c r="CM44" s="2" t="n">
        <v>121</v>
      </c>
      <c r="CN44" s="2" t="s">
        <v>118</v>
      </c>
      <c r="CO44" s="4" t="n">
        <f aca="false">AH44*AI44</f>
        <v>573.6</v>
      </c>
      <c r="CP44" s="4" t="n">
        <f aca="false">CO44*AJ44</f>
        <v>28.68</v>
      </c>
      <c r="CQ44" s="4" t="n">
        <f aca="false">(CO44-CP44)*AK44</f>
        <v>43.5936</v>
      </c>
      <c r="CR44" s="4" t="n">
        <f aca="false">CO44-CP44+CQ44+AL44</f>
        <v>596.5836</v>
      </c>
      <c r="CS44" s="4" t="n">
        <f aca="false">CR44-(AP44*AH44)-AL44</f>
        <v>301.7136</v>
      </c>
      <c r="CT44" s="5" t="n">
        <f aca="false">IFERROR(CS44/CR44,0)</f>
        <v>0.505735658841443</v>
      </c>
      <c r="CU44" s="6" t="n">
        <f aca="false">IFERROR(BK44/BJ44,0)</f>
        <v>0.0586635586635587</v>
      </c>
      <c r="CV44" s="2" t="n">
        <f aca="false">IF(AY44="N/A","N/A",AY44-AX44)</f>
        <v>2</v>
      </c>
    </row>
    <row r="45" customFormat="false" ht="15" hidden="false" customHeight="false" outlineLevel="0" collapsed="false">
      <c r="A45" s="2" t="s">
        <v>965</v>
      </c>
      <c r="B45" s="2" t="s">
        <v>803</v>
      </c>
      <c r="C45" s="2" t="s">
        <v>966</v>
      </c>
      <c r="D45" s="2" t="s">
        <v>967</v>
      </c>
      <c r="E45" s="2" t="s">
        <v>968</v>
      </c>
      <c r="F45" s="2" t="s">
        <v>184</v>
      </c>
      <c r="G45" s="2" t="n">
        <v>74</v>
      </c>
      <c r="H45" s="3" t="n">
        <v>18686</v>
      </c>
      <c r="I45" s="2" t="s">
        <v>487</v>
      </c>
      <c r="J45" s="2" t="s">
        <v>546</v>
      </c>
      <c r="K45" s="2" t="s">
        <v>547</v>
      </c>
      <c r="L45" s="2" t="s">
        <v>548</v>
      </c>
      <c r="M45" s="2" t="s">
        <v>969</v>
      </c>
      <c r="N45" s="3" t="n">
        <v>44930</v>
      </c>
      <c r="O45" s="2" t="s">
        <v>155</v>
      </c>
      <c r="P45" s="2" t="n">
        <v>1717</v>
      </c>
      <c r="Q45" s="2" t="s">
        <v>970</v>
      </c>
      <c r="R45" s="2" t="s">
        <v>113</v>
      </c>
      <c r="S45" s="2" t="s">
        <v>190</v>
      </c>
      <c r="T45" s="2" t="s">
        <v>365</v>
      </c>
      <c r="U45" s="2" t="s">
        <v>130</v>
      </c>
      <c r="V45" s="2" t="s">
        <v>117</v>
      </c>
      <c r="W45" s="2" t="s">
        <v>118</v>
      </c>
      <c r="X45" s="2" t="s">
        <v>971</v>
      </c>
      <c r="Y45" s="3" t="n">
        <v>45547</v>
      </c>
      <c r="Z45" s="2" t="s">
        <v>972</v>
      </c>
      <c r="AA45" s="2" t="s">
        <v>121</v>
      </c>
      <c r="AB45" s="2" t="s">
        <v>342</v>
      </c>
      <c r="AC45" s="2" t="s">
        <v>973</v>
      </c>
      <c r="AD45" s="2" t="s">
        <v>164</v>
      </c>
      <c r="AE45" s="2" t="s">
        <v>165</v>
      </c>
      <c r="AF45" s="2" t="s">
        <v>974</v>
      </c>
      <c r="AG45" s="2" t="s">
        <v>975</v>
      </c>
      <c r="AH45" s="2" t="n">
        <v>1</v>
      </c>
      <c r="AI45" s="4" t="n">
        <v>363.56</v>
      </c>
      <c r="AJ45" s="5" t="n">
        <v>0</v>
      </c>
      <c r="AK45" s="5" t="n">
        <v>0.08</v>
      </c>
      <c r="AL45" s="4" t="n">
        <v>10.78</v>
      </c>
      <c r="AM45" s="2" t="s">
        <v>128</v>
      </c>
      <c r="AN45" s="2" t="s">
        <v>129</v>
      </c>
      <c r="AO45" s="2" t="s">
        <v>116</v>
      </c>
      <c r="AP45" s="4" t="n">
        <v>181.78</v>
      </c>
      <c r="AQ45" s="2" t="s">
        <v>976</v>
      </c>
      <c r="AR45" s="2" t="s">
        <v>977</v>
      </c>
      <c r="AS45" s="2" t="s">
        <v>547</v>
      </c>
      <c r="AT45" s="2" t="s">
        <v>487</v>
      </c>
      <c r="AU45" s="2" t="s">
        <v>133</v>
      </c>
      <c r="AV45" s="2" t="s">
        <v>375</v>
      </c>
      <c r="AW45" s="2" t="s">
        <v>978</v>
      </c>
      <c r="AX45" s="3" t="n">
        <v>45555</v>
      </c>
      <c r="AY45" s="2" t="s">
        <v>113</v>
      </c>
      <c r="AZ45" s="2" t="s">
        <v>175</v>
      </c>
      <c r="BA45" s="2" t="s">
        <v>118</v>
      </c>
      <c r="BB45" s="2" t="s">
        <v>113</v>
      </c>
      <c r="BC45" s="2" t="s">
        <v>113</v>
      </c>
      <c r="BD45" s="2" t="s">
        <v>118</v>
      </c>
      <c r="BE45" s="2" t="s">
        <v>113</v>
      </c>
      <c r="BF45" s="2" t="s">
        <v>280</v>
      </c>
      <c r="BG45" s="2" t="s">
        <v>281</v>
      </c>
      <c r="BH45" s="2" t="s">
        <v>979</v>
      </c>
      <c r="BI45" s="4" t="n">
        <v>136.31</v>
      </c>
      <c r="BJ45" s="2" t="n">
        <v>13666</v>
      </c>
      <c r="BK45" s="2" t="n">
        <v>1014</v>
      </c>
      <c r="BL45" s="2" t="s">
        <v>380</v>
      </c>
      <c r="BM45" s="2" t="s">
        <v>117</v>
      </c>
      <c r="BN45" s="2" t="s">
        <v>304</v>
      </c>
      <c r="BO45" s="2" t="s">
        <v>229</v>
      </c>
      <c r="BP45" s="2" t="s">
        <v>328</v>
      </c>
      <c r="BQ45" s="2" t="n">
        <v>18</v>
      </c>
      <c r="BR45" s="2" t="n">
        <v>36</v>
      </c>
      <c r="BS45" s="2" t="s">
        <v>118</v>
      </c>
      <c r="BT45" s="2" t="n">
        <v>4</v>
      </c>
      <c r="BU45" s="2" t="n">
        <v>2.6</v>
      </c>
      <c r="BV45" s="2" t="n">
        <v>1</v>
      </c>
      <c r="BW45" s="3" t="n">
        <v>45765</v>
      </c>
      <c r="BX45" s="2" t="n">
        <v>3</v>
      </c>
      <c r="BY45" s="2" t="n">
        <v>22</v>
      </c>
      <c r="BZ45" s="2" t="s">
        <v>117</v>
      </c>
      <c r="CA45" s="2" t="n">
        <v>22</v>
      </c>
      <c r="CB45" s="2" t="n">
        <v>10</v>
      </c>
      <c r="CC45" s="2" t="n">
        <v>5</v>
      </c>
      <c r="CD45" s="2" t="n">
        <v>54.7</v>
      </c>
      <c r="CE45" s="4" t="n">
        <v>3422.46</v>
      </c>
      <c r="CF45" s="5" t="n">
        <v>45.1</v>
      </c>
      <c r="CG45" s="2" t="n">
        <v>334</v>
      </c>
      <c r="CH45" s="2" t="s">
        <v>144</v>
      </c>
      <c r="CI45" s="2" t="s">
        <v>118</v>
      </c>
      <c r="CJ45" s="2" t="n">
        <v>7</v>
      </c>
      <c r="CK45" s="2" t="n">
        <v>26</v>
      </c>
      <c r="CL45" s="4" t="n">
        <v>76.25</v>
      </c>
      <c r="CM45" s="2" t="n">
        <v>105</v>
      </c>
      <c r="CN45" s="2" t="s">
        <v>118</v>
      </c>
      <c r="CO45" s="4" t="n">
        <f aca="false">AH45*AI45</f>
        <v>363.56</v>
      </c>
      <c r="CP45" s="4" t="n">
        <f aca="false">CO45*AJ45</f>
        <v>0</v>
      </c>
      <c r="CQ45" s="4" t="n">
        <f aca="false">(CO45-CP45)*AK45</f>
        <v>29.0848</v>
      </c>
      <c r="CR45" s="4" t="n">
        <f aca="false">CO45-CP45+CQ45+AL45</f>
        <v>403.4248</v>
      </c>
      <c r="CS45" s="4" t="n">
        <f aca="false">CR45-(AP45*AH45)-AL45</f>
        <v>210.8648</v>
      </c>
      <c r="CT45" s="5" t="n">
        <f aca="false">IFERROR(CS45/CR45,0)</f>
        <v>0.522686755995169</v>
      </c>
      <c r="CU45" s="6" t="n">
        <f aca="false">IFERROR(BK45/BJ45,0)</f>
        <v>0.0741987414020196</v>
      </c>
      <c r="CV45" s="2" t="str">
        <f aca="false">IF(AY45="N/A","N/A",AY45-AX45)</f>
        <v>N/A</v>
      </c>
    </row>
    <row r="46" customFormat="false" ht="15" hidden="false" customHeight="false" outlineLevel="0" collapsed="false">
      <c r="A46" s="2" t="s">
        <v>980</v>
      </c>
      <c r="B46" s="2" t="s">
        <v>981</v>
      </c>
      <c r="C46" s="2" t="s">
        <v>982</v>
      </c>
      <c r="D46" s="2" t="s">
        <v>983</v>
      </c>
      <c r="E46" s="2" t="s">
        <v>984</v>
      </c>
      <c r="F46" s="2" t="s">
        <v>150</v>
      </c>
      <c r="G46" s="2" t="n">
        <v>72</v>
      </c>
      <c r="H46" s="3" t="n">
        <v>19400</v>
      </c>
      <c r="I46" s="2" t="s">
        <v>526</v>
      </c>
      <c r="J46" s="2" t="s">
        <v>527</v>
      </c>
      <c r="K46" s="2" t="s">
        <v>527</v>
      </c>
      <c r="L46" s="2" t="s">
        <v>528</v>
      </c>
      <c r="M46" s="2" t="s">
        <v>985</v>
      </c>
      <c r="N46" s="3" t="n">
        <v>45029</v>
      </c>
      <c r="O46" s="2" t="s">
        <v>311</v>
      </c>
      <c r="P46" s="2" t="n">
        <v>2170</v>
      </c>
      <c r="Q46" s="2" t="s">
        <v>986</v>
      </c>
      <c r="R46" s="2" t="s">
        <v>113</v>
      </c>
      <c r="S46" s="2" t="s">
        <v>114</v>
      </c>
      <c r="T46" s="2" t="s">
        <v>191</v>
      </c>
      <c r="U46" s="2" t="s">
        <v>130</v>
      </c>
      <c r="V46" s="2" t="s">
        <v>118</v>
      </c>
      <c r="W46" s="2" t="s">
        <v>117</v>
      </c>
      <c r="X46" s="2" t="s">
        <v>987</v>
      </c>
      <c r="Y46" s="3" t="n">
        <v>45385</v>
      </c>
      <c r="Z46" s="2" t="s">
        <v>988</v>
      </c>
      <c r="AA46" s="2" t="s">
        <v>161</v>
      </c>
      <c r="AB46" s="2" t="s">
        <v>162</v>
      </c>
      <c r="AC46" s="2" t="s">
        <v>989</v>
      </c>
      <c r="AD46" s="2" t="s">
        <v>220</v>
      </c>
      <c r="AE46" s="2" t="s">
        <v>165</v>
      </c>
      <c r="AF46" s="2" t="s">
        <v>990</v>
      </c>
      <c r="AG46" s="2" t="s">
        <v>991</v>
      </c>
      <c r="AH46" s="2" t="n">
        <v>3</v>
      </c>
      <c r="AI46" s="4" t="n">
        <v>444.12</v>
      </c>
      <c r="AJ46" s="5" t="n">
        <v>0.15</v>
      </c>
      <c r="AK46" s="5" t="n">
        <v>0.08</v>
      </c>
      <c r="AL46" s="4" t="n">
        <v>22.57</v>
      </c>
      <c r="AM46" s="2" t="s">
        <v>128</v>
      </c>
      <c r="AN46" s="2" t="s">
        <v>129</v>
      </c>
      <c r="AO46" s="2" t="s">
        <v>222</v>
      </c>
      <c r="AP46" s="4" t="n">
        <v>222.06</v>
      </c>
      <c r="AQ46" s="2" t="s">
        <v>992</v>
      </c>
      <c r="AR46" s="2" t="s">
        <v>993</v>
      </c>
      <c r="AS46" s="2" t="s">
        <v>527</v>
      </c>
      <c r="AT46" s="2" t="s">
        <v>526</v>
      </c>
      <c r="AU46" s="2" t="s">
        <v>172</v>
      </c>
      <c r="AV46" s="2" t="s">
        <v>278</v>
      </c>
      <c r="AW46" s="2" t="s">
        <v>994</v>
      </c>
      <c r="AX46" s="3" t="n">
        <v>45389</v>
      </c>
      <c r="AY46" s="3" t="n">
        <v>45394</v>
      </c>
      <c r="AZ46" s="2" t="s">
        <v>175</v>
      </c>
      <c r="BA46" s="2" t="s">
        <v>118</v>
      </c>
      <c r="BB46" s="2" t="s">
        <v>113</v>
      </c>
      <c r="BC46" s="2" t="s">
        <v>113</v>
      </c>
      <c r="BD46" s="2" t="s">
        <v>118</v>
      </c>
      <c r="BE46" s="2" t="s">
        <v>113</v>
      </c>
      <c r="BF46" s="2" t="s">
        <v>255</v>
      </c>
      <c r="BG46" s="2" t="s">
        <v>820</v>
      </c>
      <c r="BH46" s="2" t="s">
        <v>995</v>
      </c>
      <c r="BI46" s="4" t="n">
        <v>90.58</v>
      </c>
      <c r="BJ46" s="2" t="n">
        <v>8731</v>
      </c>
      <c r="BK46" s="2" t="n">
        <v>468</v>
      </c>
      <c r="BL46" s="2" t="s">
        <v>113</v>
      </c>
      <c r="BM46" s="2" t="s">
        <v>118</v>
      </c>
      <c r="BN46" s="2" t="s">
        <v>141</v>
      </c>
      <c r="BO46" s="2" t="s">
        <v>178</v>
      </c>
      <c r="BP46" s="2" t="s">
        <v>328</v>
      </c>
      <c r="BQ46" s="2" t="n">
        <v>36.5</v>
      </c>
      <c r="BR46" s="2" t="n">
        <v>9</v>
      </c>
      <c r="BS46" s="2" t="s">
        <v>117</v>
      </c>
      <c r="BT46" s="2" t="n">
        <v>2</v>
      </c>
      <c r="BU46" s="2" t="n">
        <v>29.7</v>
      </c>
      <c r="BV46" s="2" t="n">
        <v>28</v>
      </c>
      <c r="BW46" s="3" t="n">
        <v>45591</v>
      </c>
      <c r="BX46" s="2" t="n">
        <v>5</v>
      </c>
      <c r="BY46" s="2" t="n">
        <v>37</v>
      </c>
      <c r="BZ46" s="2" t="s">
        <v>118</v>
      </c>
      <c r="CA46" s="2" t="n">
        <v>70</v>
      </c>
      <c r="CB46" s="2" t="n">
        <v>2</v>
      </c>
      <c r="CC46" s="2" t="n">
        <v>0</v>
      </c>
      <c r="CD46" s="2" t="n">
        <v>0</v>
      </c>
      <c r="CE46" s="4" t="n">
        <v>10038.71</v>
      </c>
      <c r="CF46" s="5" t="n">
        <v>80.8</v>
      </c>
      <c r="CG46" s="2" t="n">
        <v>723</v>
      </c>
      <c r="CH46" s="2" t="s">
        <v>329</v>
      </c>
      <c r="CI46" s="2" t="s">
        <v>117</v>
      </c>
      <c r="CJ46" s="2" t="n">
        <v>1</v>
      </c>
      <c r="CK46" s="2" t="n">
        <v>12</v>
      </c>
      <c r="CL46" s="4" t="n">
        <v>245.1</v>
      </c>
      <c r="CM46" s="2" t="n">
        <v>203</v>
      </c>
      <c r="CN46" s="2" t="s">
        <v>118</v>
      </c>
      <c r="CO46" s="4" t="n">
        <f aca="false">AH46*AI46</f>
        <v>1332.36</v>
      </c>
      <c r="CP46" s="4" t="n">
        <f aca="false">CO46*AJ46</f>
        <v>199.854</v>
      </c>
      <c r="CQ46" s="4" t="n">
        <f aca="false">(CO46-CP46)*AK46</f>
        <v>90.60048</v>
      </c>
      <c r="CR46" s="4" t="n">
        <f aca="false">CO46-CP46+CQ46+AL46</f>
        <v>1245.67648</v>
      </c>
      <c r="CS46" s="4" t="n">
        <f aca="false">CR46-(AP46*AH46)-AL46</f>
        <v>556.92648</v>
      </c>
      <c r="CT46" s="5" t="n">
        <f aca="false">IFERROR(CS46/CR46,0)</f>
        <v>0.447087577667036</v>
      </c>
      <c r="CU46" s="6" t="n">
        <f aca="false">IFERROR(BK46/BJ46,0)</f>
        <v>0.0536021074332837</v>
      </c>
      <c r="CV46" s="2" t="n">
        <f aca="false">IF(AY46="N/A","N/A",AY46-AX46)</f>
        <v>5</v>
      </c>
    </row>
    <row r="47" customFormat="false" ht="15" hidden="false" customHeight="false" outlineLevel="0" collapsed="false">
      <c r="A47" s="2" t="s">
        <v>996</v>
      </c>
      <c r="B47" s="2" t="s">
        <v>504</v>
      </c>
      <c r="C47" s="2" t="s">
        <v>997</v>
      </c>
      <c r="D47" s="2" t="s">
        <v>998</v>
      </c>
      <c r="E47" s="2" t="s">
        <v>999</v>
      </c>
      <c r="F47" s="2" t="s">
        <v>150</v>
      </c>
      <c r="G47" s="2" t="n">
        <v>73</v>
      </c>
      <c r="H47" s="3" t="n">
        <v>19019</v>
      </c>
      <c r="I47" s="2" t="s">
        <v>235</v>
      </c>
      <c r="J47" s="2" t="s">
        <v>236</v>
      </c>
      <c r="K47" s="2" t="s">
        <v>236</v>
      </c>
      <c r="L47" s="2" t="s">
        <v>237</v>
      </c>
      <c r="M47" s="2" t="s">
        <v>1000</v>
      </c>
      <c r="N47" s="3" t="n">
        <v>45241</v>
      </c>
      <c r="O47" s="2" t="s">
        <v>111</v>
      </c>
      <c r="P47" s="2" t="n">
        <v>921</v>
      </c>
      <c r="Q47" s="2" t="s">
        <v>1001</v>
      </c>
      <c r="R47" s="2" t="s">
        <v>113</v>
      </c>
      <c r="S47" s="2" t="s">
        <v>190</v>
      </c>
      <c r="T47" s="2" t="s">
        <v>157</v>
      </c>
      <c r="U47" s="2" t="s">
        <v>169</v>
      </c>
      <c r="V47" s="2" t="s">
        <v>117</v>
      </c>
      <c r="W47" s="2" t="s">
        <v>118</v>
      </c>
      <c r="X47" s="2" t="s">
        <v>1002</v>
      </c>
      <c r="Y47" s="3" t="n">
        <v>45716</v>
      </c>
      <c r="Z47" s="2" t="s">
        <v>1003</v>
      </c>
      <c r="AA47" s="2" t="s">
        <v>121</v>
      </c>
      <c r="AB47" s="2" t="s">
        <v>342</v>
      </c>
      <c r="AC47" s="2" t="s">
        <v>1004</v>
      </c>
      <c r="AD47" s="2" t="s">
        <v>394</v>
      </c>
      <c r="AE47" s="2" t="s">
        <v>395</v>
      </c>
      <c r="AF47" s="2" t="s">
        <v>1005</v>
      </c>
      <c r="AG47" s="2" t="s">
        <v>397</v>
      </c>
      <c r="AH47" s="2" t="n">
        <v>5</v>
      </c>
      <c r="AI47" s="4" t="n">
        <v>169.26</v>
      </c>
      <c r="AJ47" s="5" t="n">
        <v>0</v>
      </c>
      <c r="AK47" s="5" t="n">
        <v>0.08</v>
      </c>
      <c r="AL47" s="4" t="n">
        <v>24.31</v>
      </c>
      <c r="AM47" s="2" t="s">
        <v>168</v>
      </c>
      <c r="AN47" s="2" t="s">
        <v>129</v>
      </c>
      <c r="AO47" s="2" t="s">
        <v>130</v>
      </c>
      <c r="AP47" s="4" t="n">
        <v>76.17</v>
      </c>
      <c r="AQ47" s="2" t="s">
        <v>1006</v>
      </c>
      <c r="AR47" s="2" t="s">
        <v>1007</v>
      </c>
      <c r="AS47" s="2" t="s">
        <v>236</v>
      </c>
      <c r="AT47" s="2" t="s">
        <v>235</v>
      </c>
      <c r="AU47" s="2" t="s">
        <v>322</v>
      </c>
      <c r="AV47" s="2" t="s">
        <v>278</v>
      </c>
      <c r="AW47" s="2" t="s">
        <v>1008</v>
      </c>
      <c r="AX47" s="3" t="n">
        <v>45719</v>
      </c>
      <c r="AY47" s="2" t="s">
        <v>113</v>
      </c>
      <c r="AZ47" s="2" t="s">
        <v>301</v>
      </c>
      <c r="BA47" s="2" t="s">
        <v>118</v>
      </c>
      <c r="BB47" s="2" t="s">
        <v>113</v>
      </c>
      <c r="BC47" s="2" t="s">
        <v>113</v>
      </c>
      <c r="BD47" s="2" t="s">
        <v>118</v>
      </c>
      <c r="BE47" s="2" t="s">
        <v>113</v>
      </c>
      <c r="BF47" s="2" t="s">
        <v>255</v>
      </c>
      <c r="BG47" s="2" t="s">
        <v>646</v>
      </c>
      <c r="BH47" s="2" t="s">
        <v>1009</v>
      </c>
      <c r="BI47" s="4" t="n">
        <v>109.64</v>
      </c>
      <c r="BJ47" s="2" t="n">
        <v>11367</v>
      </c>
      <c r="BK47" s="2" t="n">
        <v>846</v>
      </c>
      <c r="BL47" s="2" t="s">
        <v>113</v>
      </c>
      <c r="BM47" s="2" t="s">
        <v>118</v>
      </c>
      <c r="BN47" s="2" t="s">
        <v>304</v>
      </c>
      <c r="BO47" s="2" t="s">
        <v>258</v>
      </c>
      <c r="BP47" s="2" t="s">
        <v>259</v>
      </c>
      <c r="BQ47" s="2" t="n">
        <v>34.3</v>
      </c>
      <c r="BR47" s="2" t="n">
        <v>24</v>
      </c>
      <c r="BS47" s="2" t="s">
        <v>118</v>
      </c>
      <c r="BT47" s="2" t="n">
        <v>16</v>
      </c>
      <c r="BU47" s="2" t="n">
        <v>24</v>
      </c>
      <c r="BV47" s="2" t="n">
        <v>5</v>
      </c>
      <c r="BW47" s="3" t="n">
        <v>45875</v>
      </c>
      <c r="BX47" s="2" t="n">
        <v>5</v>
      </c>
      <c r="BY47" s="2" t="n">
        <v>129</v>
      </c>
      <c r="BZ47" s="2" t="s">
        <v>117</v>
      </c>
      <c r="CA47" s="2" t="n">
        <v>-91</v>
      </c>
      <c r="CB47" s="2" t="n">
        <v>3</v>
      </c>
      <c r="CC47" s="2" t="n">
        <v>2</v>
      </c>
      <c r="CD47" s="2" t="n">
        <v>29.3</v>
      </c>
      <c r="CE47" s="4" t="n">
        <v>9292.76</v>
      </c>
      <c r="CF47" s="5" t="n">
        <v>68.1</v>
      </c>
      <c r="CG47" s="2" t="n">
        <v>711</v>
      </c>
      <c r="CH47" s="2" t="s">
        <v>144</v>
      </c>
      <c r="CI47" s="2" t="s">
        <v>118</v>
      </c>
      <c r="CJ47" s="2" t="n">
        <v>0</v>
      </c>
      <c r="CK47" s="2" t="n">
        <v>23</v>
      </c>
      <c r="CL47" s="4" t="n">
        <v>131.8</v>
      </c>
      <c r="CM47" s="2" t="n">
        <v>102</v>
      </c>
      <c r="CN47" s="2" t="s">
        <v>118</v>
      </c>
      <c r="CO47" s="4" t="n">
        <f aca="false">AH47*AI47</f>
        <v>846.3</v>
      </c>
      <c r="CP47" s="4" t="n">
        <f aca="false">CO47*AJ47</f>
        <v>0</v>
      </c>
      <c r="CQ47" s="4" t="n">
        <f aca="false">(CO47-CP47)*AK47</f>
        <v>67.704</v>
      </c>
      <c r="CR47" s="4" t="n">
        <f aca="false">CO47-CP47+CQ47+AL47</f>
        <v>938.314</v>
      </c>
      <c r="CS47" s="4" t="n">
        <f aca="false">CR47-(AP47*AH47)-AL47</f>
        <v>533.154</v>
      </c>
      <c r="CT47" s="5" t="n">
        <f aca="false">IFERROR(CS47/CR47,0)</f>
        <v>0.568204247192304</v>
      </c>
      <c r="CU47" s="6" t="n">
        <f aca="false">IFERROR(BK47/BJ47,0)</f>
        <v>0.0744259699129058</v>
      </c>
      <c r="CV47" s="2" t="str">
        <f aca="false">IF(AY47="N/A","N/A",AY47-AX47)</f>
        <v>N/A</v>
      </c>
    </row>
    <row r="48" customFormat="false" ht="15" hidden="false" customHeight="false" outlineLevel="0" collapsed="false">
      <c r="A48" s="2" t="s">
        <v>1010</v>
      </c>
      <c r="B48" s="2" t="s">
        <v>1011</v>
      </c>
      <c r="C48" s="2" t="s">
        <v>1012</v>
      </c>
      <c r="D48" s="2" t="s">
        <v>1013</v>
      </c>
      <c r="E48" s="2" t="s">
        <v>1014</v>
      </c>
      <c r="F48" s="2" t="s">
        <v>150</v>
      </c>
      <c r="G48" s="2" t="n">
        <v>21</v>
      </c>
      <c r="H48" s="3" t="n">
        <v>38161</v>
      </c>
      <c r="I48" s="2" t="s">
        <v>599</v>
      </c>
      <c r="J48" s="2" t="s">
        <v>667</v>
      </c>
      <c r="K48" s="2" t="s">
        <v>668</v>
      </c>
      <c r="L48" s="2" t="s">
        <v>669</v>
      </c>
      <c r="M48" s="2" t="s">
        <v>1015</v>
      </c>
      <c r="N48" s="3" t="n">
        <v>44223</v>
      </c>
      <c r="O48" s="2" t="s">
        <v>155</v>
      </c>
      <c r="P48" s="2" t="n">
        <v>3802</v>
      </c>
      <c r="Q48" s="2" t="s">
        <v>1016</v>
      </c>
      <c r="R48" s="2" t="s">
        <v>113</v>
      </c>
      <c r="S48" s="2" t="s">
        <v>114</v>
      </c>
      <c r="T48" s="2" t="s">
        <v>157</v>
      </c>
      <c r="U48" s="2" t="s">
        <v>222</v>
      </c>
      <c r="V48" s="2" t="s">
        <v>118</v>
      </c>
      <c r="W48" s="2" t="s">
        <v>117</v>
      </c>
      <c r="X48" s="2" t="s">
        <v>1017</v>
      </c>
      <c r="Y48" s="3" t="n">
        <v>45809</v>
      </c>
      <c r="Z48" s="2" t="s">
        <v>1018</v>
      </c>
      <c r="AA48" s="2" t="s">
        <v>414</v>
      </c>
      <c r="AB48" s="2" t="s">
        <v>342</v>
      </c>
      <c r="AC48" s="2" t="s">
        <v>1019</v>
      </c>
      <c r="AD48" s="2" t="s">
        <v>1020</v>
      </c>
      <c r="AE48" s="2" t="s">
        <v>295</v>
      </c>
      <c r="AF48" s="2" t="s">
        <v>1021</v>
      </c>
      <c r="AG48" s="2" t="s">
        <v>1022</v>
      </c>
      <c r="AH48" s="2" t="n">
        <v>3</v>
      </c>
      <c r="AI48" s="4" t="n">
        <v>46.55</v>
      </c>
      <c r="AJ48" s="5" t="n">
        <v>0.25</v>
      </c>
      <c r="AK48" s="5" t="n">
        <v>0.08</v>
      </c>
      <c r="AL48" s="4" t="n">
        <v>21.29</v>
      </c>
      <c r="AM48" s="2" t="s">
        <v>198</v>
      </c>
      <c r="AN48" s="2" t="s">
        <v>129</v>
      </c>
      <c r="AO48" s="2" t="s">
        <v>116</v>
      </c>
      <c r="AP48" s="4" t="n">
        <v>18.62</v>
      </c>
      <c r="AQ48" s="2" t="s">
        <v>1023</v>
      </c>
      <c r="AR48" s="2" t="s">
        <v>1024</v>
      </c>
      <c r="AS48" s="2" t="s">
        <v>668</v>
      </c>
      <c r="AT48" s="2" t="s">
        <v>599</v>
      </c>
      <c r="AU48" s="2" t="s">
        <v>172</v>
      </c>
      <c r="AV48" s="2" t="s">
        <v>201</v>
      </c>
      <c r="AW48" s="2" t="s">
        <v>1025</v>
      </c>
      <c r="AX48" s="3" t="n">
        <v>45813</v>
      </c>
      <c r="AY48" s="2" t="s">
        <v>113</v>
      </c>
      <c r="AZ48" s="2" t="s">
        <v>301</v>
      </c>
      <c r="BA48" s="2" t="s">
        <v>118</v>
      </c>
      <c r="BB48" s="2" t="s">
        <v>113</v>
      </c>
      <c r="BC48" s="2" t="s">
        <v>113</v>
      </c>
      <c r="BD48" s="2" t="s">
        <v>118</v>
      </c>
      <c r="BE48" s="2" t="s">
        <v>113</v>
      </c>
      <c r="BF48" s="2" t="s">
        <v>440</v>
      </c>
      <c r="BG48" s="2" t="s">
        <v>594</v>
      </c>
      <c r="BH48" s="2" t="s">
        <v>1026</v>
      </c>
      <c r="BI48" s="4" t="n">
        <v>499.72</v>
      </c>
      <c r="BJ48" s="2" t="n">
        <v>5458</v>
      </c>
      <c r="BK48" s="2" t="n">
        <v>269</v>
      </c>
      <c r="BL48" s="2" t="s">
        <v>113</v>
      </c>
      <c r="BM48" s="2" t="s">
        <v>118</v>
      </c>
      <c r="BN48" s="2" t="s">
        <v>304</v>
      </c>
      <c r="BO48" s="2" t="s">
        <v>178</v>
      </c>
      <c r="BP48" s="2" t="s">
        <v>328</v>
      </c>
      <c r="BQ48" s="2" t="n">
        <v>25.5</v>
      </c>
      <c r="BR48" s="2" t="n">
        <v>39</v>
      </c>
      <c r="BS48" s="2" t="s">
        <v>118</v>
      </c>
      <c r="BT48" s="2" t="n">
        <v>9</v>
      </c>
      <c r="BU48" s="2" t="n">
        <v>20.8</v>
      </c>
      <c r="BV48" s="2" t="n">
        <v>31</v>
      </c>
      <c r="BW48" s="3" t="n">
        <v>45825</v>
      </c>
      <c r="BX48" s="2" t="n">
        <v>2</v>
      </c>
      <c r="BY48" s="2" t="n">
        <v>86</v>
      </c>
      <c r="BZ48" s="2" t="s">
        <v>118</v>
      </c>
      <c r="CA48" s="2" t="n">
        <v>46</v>
      </c>
      <c r="CB48" s="2" t="n">
        <v>4</v>
      </c>
      <c r="CC48" s="2" t="n">
        <v>1</v>
      </c>
      <c r="CD48" s="2" t="n">
        <v>46.8</v>
      </c>
      <c r="CE48" s="4" t="n">
        <v>10181.54</v>
      </c>
      <c r="CF48" s="5" t="n">
        <v>26.9</v>
      </c>
      <c r="CG48" s="2" t="n">
        <v>719</v>
      </c>
      <c r="CH48" s="2" t="s">
        <v>144</v>
      </c>
      <c r="CI48" s="2" t="s">
        <v>117</v>
      </c>
      <c r="CJ48" s="2" t="n">
        <v>4</v>
      </c>
      <c r="CK48" s="2" t="n">
        <v>34</v>
      </c>
      <c r="CL48" s="4" t="n">
        <v>400.55</v>
      </c>
      <c r="CM48" s="2" t="n">
        <v>333</v>
      </c>
      <c r="CN48" s="2" t="s">
        <v>118</v>
      </c>
      <c r="CO48" s="4" t="n">
        <f aca="false">AH48*AI48</f>
        <v>139.65</v>
      </c>
      <c r="CP48" s="4" t="n">
        <f aca="false">CO48*AJ48</f>
        <v>34.9125</v>
      </c>
      <c r="CQ48" s="4" t="n">
        <f aca="false">(CO48-CP48)*AK48</f>
        <v>8.379</v>
      </c>
      <c r="CR48" s="4" t="n">
        <f aca="false">CO48-CP48+CQ48+AL48</f>
        <v>134.4065</v>
      </c>
      <c r="CS48" s="4" t="n">
        <f aca="false">CR48-(AP48*AH48)-AL48</f>
        <v>57.2565</v>
      </c>
      <c r="CT48" s="5" t="n">
        <f aca="false">IFERROR(CS48/CR48,0)</f>
        <v>0.425995022562153</v>
      </c>
      <c r="CU48" s="6" t="n">
        <f aca="false">IFERROR(BK48/BJ48,0)</f>
        <v>0.0492854525467204</v>
      </c>
      <c r="CV48" s="2" t="str">
        <f aca="false">IF(AY48="N/A","N/A",AY48-AX48)</f>
        <v>N/A</v>
      </c>
    </row>
    <row r="49" customFormat="false" ht="15" hidden="false" customHeight="false" outlineLevel="0" collapsed="false">
      <c r="A49" s="2" t="s">
        <v>1027</v>
      </c>
      <c r="B49" s="2" t="s">
        <v>1028</v>
      </c>
      <c r="C49" s="2" t="s">
        <v>997</v>
      </c>
      <c r="D49" s="2" t="s">
        <v>1029</v>
      </c>
      <c r="E49" s="2" t="s">
        <v>1030</v>
      </c>
      <c r="F49" s="2" t="s">
        <v>105</v>
      </c>
      <c r="G49" s="2" t="n">
        <v>75</v>
      </c>
      <c r="H49" s="3" t="n">
        <v>18289</v>
      </c>
      <c r="I49" s="2" t="s">
        <v>235</v>
      </c>
      <c r="J49" s="2" t="s">
        <v>236</v>
      </c>
      <c r="K49" s="2" t="s">
        <v>236</v>
      </c>
      <c r="L49" s="2" t="s">
        <v>237</v>
      </c>
      <c r="M49" s="2" t="s">
        <v>1031</v>
      </c>
      <c r="N49" s="3" t="n">
        <v>44756</v>
      </c>
      <c r="O49" s="2" t="s">
        <v>311</v>
      </c>
      <c r="P49" s="2" t="n">
        <v>1146</v>
      </c>
      <c r="Q49" s="2" t="s">
        <v>1032</v>
      </c>
      <c r="R49" s="2" t="s">
        <v>113</v>
      </c>
      <c r="S49" s="2" t="s">
        <v>114</v>
      </c>
      <c r="T49" s="2" t="s">
        <v>157</v>
      </c>
      <c r="U49" s="2" t="s">
        <v>215</v>
      </c>
      <c r="V49" s="2" t="s">
        <v>117</v>
      </c>
      <c r="W49" s="2" t="s">
        <v>117</v>
      </c>
      <c r="X49" s="2" t="s">
        <v>1033</v>
      </c>
      <c r="Y49" s="3" t="n">
        <v>45318</v>
      </c>
      <c r="Z49" s="2" t="s">
        <v>1034</v>
      </c>
      <c r="AA49" s="2" t="s">
        <v>121</v>
      </c>
      <c r="AB49" s="2" t="s">
        <v>162</v>
      </c>
      <c r="AC49" s="2" t="s">
        <v>1035</v>
      </c>
      <c r="AD49" s="2" t="s">
        <v>164</v>
      </c>
      <c r="AE49" s="2" t="s">
        <v>165</v>
      </c>
      <c r="AF49" s="2" t="s">
        <v>166</v>
      </c>
      <c r="AG49" s="2" t="s">
        <v>975</v>
      </c>
      <c r="AH49" s="2" t="n">
        <v>4</v>
      </c>
      <c r="AI49" s="4" t="n">
        <v>209.44</v>
      </c>
      <c r="AJ49" s="5" t="n">
        <v>0</v>
      </c>
      <c r="AK49" s="5" t="n">
        <v>0.08</v>
      </c>
      <c r="AL49" s="4" t="n">
        <v>22.24</v>
      </c>
      <c r="AM49" s="2" t="s">
        <v>247</v>
      </c>
      <c r="AN49" s="2" t="s">
        <v>129</v>
      </c>
      <c r="AO49" s="2" t="s">
        <v>130</v>
      </c>
      <c r="AP49" s="4" t="n">
        <v>104.72</v>
      </c>
      <c r="AQ49" s="2" t="s">
        <v>1036</v>
      </c>
      <c r="AR49" s="2" t="s">
        <v>1037</v>
      </c>
      <c r="AS49" s="2" t="s">
        <v>236</v>
      </c>
      <c r="AT49" s="2" t="s">
        <v>235</v>
      </c>
      <c r="AU49" s="2" t="s">
        <v>322</v>
      </c>
      <c r="AV49" s="2" t="s">
        <v>201</v>
      </c>
      <c r="AW49" s="2" t="s">
        <v>1038</v>
      </c>
      <c r="AX49" s="3" t="n">
        <v>45323</v>
      </c>
      <c r="AY49" s="2" t="s">
        <v>113</v>
      </c>
      <c r="AZ49" s="2" t="s">
        <v>175</v>
      </c>
      <c r="BA49" s="2" t="s">
        <v>118</v>
      </c>
      <c r="BB49" s="2" t="s">
        <v>113</v>
      </c>
      <c r="BC49" s="2" t="s">
        <v>113</v>
      </c>
      <c r="BD49" s="2" t="s">
        <v>118</v>
      </c>
      <c r="BE49" s="2" t="s">
        <v>113</v>
      </c>
      <c r="BF49" s="2" t="s">
        <v>137</v>
      </c>
      <c r="BG49" s="2" t="s">
        <v>1039</v>
      </c>
      <c r="BH49" s="2" t="s">
        <v>1040</v>
      </c>
      <c r="BI49" s="4" t="n">
        <v>174.62</v>
      </c>
      <c r="BJ49" s="2" t="n">
        <v>17618</v>
      </c>
      <c r="BK49" s="2" t="n">
        <v>2619</v>
      </c>
      <c r="BL49" s="2" t="s">
        <v>113</v>
      </c>
      <c r="BM49" s="2" t="s">
        <v>118</v>
      </c>
      <c r="BN49" s="2" t="s">
        <v>141</v>
      </c>
      <c r="BO49" s="2" t="s">
        <v>142</v>
      </c>
      <c r="BP49" s="2" t="s">
        <v>259</v>
      </c>
      <c r="BQ49" s="2" t="n">
        <v>44.4</v>
      </c>
      <c r="BR49" s="2" t="n">
        <v>10</v>
      </c>
      <c r="BS49" s="2" t="s">
        <v>118</v>
      </c>
      <c r="BT49" s="2" t="n">
        <v>5</v>
      </c>
      <c r="BU49" s="2" t="n">
        <v>23.6</v>
      </c>
      <c r="BV49" s="2" t="n">
        <v>32</v>
      </c>
      <c r="BW49" s="3" t="n">
        <v>45658</v>
      </c>
      <c r="BX49" s="2" t="n">
        <v>4</v>
      </c>
      <c r="BY49" s="2" t="n">
        <v>45</v>
      </c>
      <c r="BZ49" s="2" t="s">
        <v>117</v>
      </c>
      <c r="CA49" s="2" t="n">
        <v>-57</v>
      </c>
      <c r="CB49" s="2" t="n">
        <v>9</v>
      </c>
      <c r="CC49" s="2" t="n">
        <v>1</v>
      </c>
      <c r="CD49" s="2" t="n">
        <v>21.5</v>
      </c>
      <c r="CE49" s="4" t="n">
        <v>7088.17</v>
      </c>
      <c r="CF49" s="5" t="n">
        <v>74.1</v>
      </c>
      <c r="CG49" s="2" t="n">
        <v>487</v>
      </c>
      <c r="CH49" s="2" t="s">
        <v>283</v>
      </c>
      <c r="CI49" s="2" t="s">
        <v>117</v>
      </c>
      <c r="CJ49" s="2" t="n">
        <v>4</v>
      </c>
      <c r="CK49" s="2" t="n">
        <v>27</v>
      </c>
      <c r="CL49" s="4" t="n">
        <v>461.49</v>
      </c>
      <c r="CM49" s="2" t="n">
        <v>86</v>
      </c>
      <c r="CN49" s="2" t="s">
        <v>118</v>
      </c>
      <c r="CO49" s="4" t="n">
        <f aca="false">AH49*AI49</f>
        <v>837.76</v>
      </c>
      <c r="CP49" s="4" t="n">
        <f aca="false">CO49*AJ49</f>
        <v>0</v>
      </c>
      <c r="CQ49" s="4" t="n">
        <f aca="false">(CO49-CP49)*AK49</f>
        <v>67.0208</v>
      </c>
      <c r="CR49" s="4" t="n">
        <f aca="false">CO49-CP49+CQ49+AL49</f>
        <v>927.0208</v>
      </c>
      <c r="CS49" s="4" t="n">
        <f aca="false">CR49-(AP49*AH49)-AL49</f>
        <v>485.9008</v>
      </c>
      <c r="CT49" s="5" t="n">
        <f aca="false">IFERROR(CS49/CR49,0)</f>
        <v>0.524153071862034</v>
      </c>
      <c r="CU49" s="6" t="n">
        <f aca="false">IFERROR(BK49/BJ49,0)</f>
        <v>0.148654784879101</v>
      </c>
      <c r="CV49" s="2" t="str">
        <f aca="false">IF(AY49="N/A","N/A",AY49-AX49)</f>
        <v>N/A</v>
      </c>
    </row>
    <row r="50" customFormat="false" ht="15" hidden="false" customHeight="false" outlineLevel="0" collapsed="false">
      <c r="A50" s="2" t="s">
        <v>1041</v>
      </c>
      <c r="B50" s="2" t="s">
        <v>1042</v>
      </c>
      <c r="C50" s="2" t="s">
        <v>1043</v>
      </c>
      <c r="D50" s="2" t="s">
        <v>1044</v>
      </c>
      <c r="E50" s="2" t="s">
        <v>1045</v>
      </c>
      <c r="F50" s="2" t="s">
        <v>105</v>
      </c>
      <c r="G50" s="2" t="n">
        <v>26</v>
      </c>
      <c r="H50" s="3" t="n">
        <v>36447</v>
      </c>
      <c r="I50" s="2" t="s">
        <v>737</v>
      </c>
      <c r="J50" s="2" t="s">
        <v>738</v>
      </c>
      <c r="K50" s="2" t="s">
        <v>739</v>
      </c>
      <c r="L50" s="2" t="s">
        <v>740</v>
      </c>
      <c r="M50" s="2" t="s">
        <v>1046</v>
      </c>
      <c r="N50" s="3" t="n">
        <v>44753</v>
      </c>
      <c r="O50" s="2" t="s">
        <v>311</v>
      </c>
      <c r="P50" s="2" t="n">
        <v>3910</v>
      </c>
      <c r="Q50" s="2" t="s">
        <v>1047</v>
      </c>
      <c r="R50" s="2" t="s">
        <v>113</v>
      </c>
      <c r="S50" s="2" t="s">
        <v>190</v>
      </c>
      <c r="T50" s="2" t="s">
        <v>157</v>
      </c>
      <c r="U50" s="2" t="s">
        <v>158</v>
      </c>
      <c r="V50" s="2" t="s">
        <v>117</v>
      </c>
      <c r="W50" s="2" t="s">
        <v>118</v>
      </c>
      <c r="X50" s="2" t="s">
        <v>1048</v>
      </c>
      <c r="Y50" s="3" t="n">
        <v>45684</v>
      </c>
      <c r="Z50" s="2" t="s">
        <v>1049</v>
      </c>
      <c r="AA50" s="2" t="s">
        <v>161</v>
      </c>
      <c r="AB50" s="2" t="s">
        <v>218</v>
      </c>
      <c r="AC50" s="2" t="s">
        <v>1050</v>
      </c>
      <c r="AD50" s="2" t="s">
        <v>642</v>
      </c>
      <c r="AE50" s="2" t="s">
        <v>345</v>
      </c>
      <c r="AF50" s="2" t="s">
        <v>881</v>
      </c>
      <c r="AG50" s="2" t="s">
        <v>436</v>
      </c>
      <c r="AH50" s="2" t="n">
        <v>3</v>
      </c>
      <c r="AI50" s="4" t="n">
        <v>1711.62</v>
      </c>
      <c r="AJ50" s="5" t="n">
        <v>0.15</v>
      </c>
      <c r="AK50" s="5" t="n">
        <v>0.08</v>
      </c>
      <c r="AL50" s="4" t="n">
        <v>5.28</v>
      </c>
      <c r="AM50" s="2" t="s">
        <v>221</v>
      </c>
      <c r="AN50" s="2" t="s">
        <v>129</v>
      </c>
      <c r="AO50" s="2" t="s">
        <v>271</v>
      </c>
      <c r="AP50" s="4" t="n">
        <v>1026.97</v>
      </c>
      <c r="AQ50" s="2" t="s">
        <v>1051</v>
      </c>
      <c r="AR50" s="2" t="s">
        <v>1052</v>
      </c>
      <c r="AS50" s="2" t="s">
        <v>739</v>
      </c>
      <c r="AT50" s="2" t="s">
        <v>737</v>
      </c>
      <c r="AU50" s="2" t="s">
        <v>133</v>
      </c>
      <c r="AV50" s="2" t="s">
        <v>201</v>
      </c>
      <c r="AW50" s="2" t="s">
        <v>1053</v>
      </c>
      <c r="AX50" s="3" t="n">
        <v>45694</v>
      </c>
      <c r="AY50" s="3" t="n">
        <v>45695</v>
      </c>
      <c r="AZ50" s="2" t="s">
        <v>203</v>
      </c>
      <c r="BA50" s="2" t="s">
        <v>117</v>
      </c>
      <c r="BB50" s="2" t="s">
        <v>1054</v>
      </c>
      <c r="BC50" s="3" t="n">
        <v>45708</v>
      </c>
      <c r="BD50" s="2" t="s">
        <v>118</v>
      </c>
      <c r="BE50" s="2" t="s">
        <v>378</v>
      </c>
      <c r="BF50" s="2" t="s">
        <v>353</v>
      </c>
      <c r="BG50" s="2" t="s">
        <v>713</v>
      </c>
      <c r="BH50" s="2" t="s">
        <v>1055</v>
      </c>
      <c r="BI50" s="4" t="n">
        <v>332.68</v>
      </c>
      <c r="BJ50" s="2" t="n">
        <v>8253</v>
      </c>
      <c r="BK50" s="2" t="n">
        <v>468</v>
      </c>
      <c r="BL50" s="2" t="s">
        <v>113</v>
      </c>
      <c r="BM50" s="2" t="s">
        <v>117</v>
      </c>
      <c r="BN50" s="2" t="s">
        <v>304</v>
      </c>
      <c r="BO50" s="2" t="s">
        <v>207</v>
      </c>
      <c r="BP50" s="2" t="s">
        <v>143</v>
      </c>
      <c r="BQ50" s="2" t="n">
        <v>31.2</v>
      </c>
      <c r="BR50" s="2" t="n">
        <v>27</v>
      </c>
      <c r="BS50" s="2" t="s">
        <v>118</v>
      </c>
      <c r="BT50" s="2" t="n">
        <v>3</v>
      </c>
      <c r="BU50" s="2" t="n">
        <v>16.9</v>
      </c>
      <c r="BV50" s="2" t="n">
        <v>31</v>
      </c>
      <c r="BW50" s="3" t="n">
        <v>45762</v>
      </c>
      <c r="BX50" s="2" t="n">
        <v>4</v>
      </c>
      <c r="BY50" s="2" t="n">
        <v>52</v>
      </c>
      <c r="BZ50" s="2" t="s">
        <v>118</v>
      </c>
      <c r="CA50" s="2" t="n">
        <v>50</v>
      </c>
      <c r="CB50" s="2" t="n">
        <v>5</v>
      </c>
      <c r="CC50" s="2" t="n">
        <v>1</v>
      </c>
      <c r="CD50" s="2" t="n">
        <v>5.2</v>
      </c>
      <c r="CE50" s="4" t="n">
        <v>733.49</v>
      </c>
      <c r="CF50" s="5" t="n">
        <v>94.8</v>
      </c>
      <c r="CG50" s="2" t="n">
        <v>766</v>
      </c>
      <c r="CH50" s="2" t="s">
        <v>144</v>
      </c>
      <c r="CI50" s="2" t="s">
        <v>117</v>
      </c>
      <c r="CJ50" s="2" t="n">
        <v>6</v>
      </c>
      <c r="CK50" s="2" t="n">
        <v>13</v>
      </c>
      <c r="CL50" s="4" t="n">
        <v>404.24</v>
      </c>
      <c r="CM50" s="2" t="n">
        <v>138</v>
      </c>
      <c r="CN50" s="2" t="s">
        <v>118</v>
      </c>
      <c r="CO50" s="4" t="n">
        <f aca="false">AH50*AI50</f>
        <v>5134.86</v>
      </c>
      <c r="CP50" s="4" t="n">
        <f aca="false">CO50*AJ50</f>
        <v>770.229</v>
      </c>
      <c r="CQ50" s="4" t="n">
        <f aca="false">(CO50-CP50)*AK50</f>
        <v>349.17048</v>
      </c>
      <c r="CR50" s="4" t="n">
        <f aca="false">CO50-CP50+CQ50+AL50</f>
        <v>4719.08148</v>
      </c>
      <c r="CS50" s="4" t="n">
        <f aca="false">CR50-(AP50*AH50)-AL50</f>
        <v>1632.89148</v>
      </c>
      <c r="CT50" s="5" t="n">
        <f aca="false">IFERROR(CS50/CR50,0)</f>
        <v>0.346018920614187</v>
      </c>
      <c r="CU50" s="6" t="n">
        <f aca="false">IFERROR(BK50/BJ50,0)</f>
        <v>0.0567066521264995</v>
      </c>
      <c r="CV50" s="2" t="n">
        <f aca="false">IF(AY50="N/A","N/A",AY50-AX50)</f>
        <v>1</v>
      </c>
    </row>
    <row r="51" customFormat="false" ht="15" hidden="false" customHeight="false" outlineLevel="0" collapsed="false">
      <c r="A51" s="2" t="s">
        <v>1056</v>
      </c>
      <c r="B51" s="2" t="s">
        <v>1057</v>
      </c>
      <c r="C51" s="2" t="s">
        <v>650</v>
      </c>
      <c r="D51" s="2" t="s">
        <v>1058</v>
      </c>
      <c r="E51" s="2" t="s">
        <v>1059</v>
      </c>
      <c r="F51" s="2" t="s">
        <v>150</v>
      </c>
      <c r="G51" s="2" t="n">
        <v>71</v>
      </c>
      <c r="H51" s="3" t="n">
        <v>19772</v>
      </c>
      <c r="I51" s="2" t="s">
        <v>235</v>
      </c>
      <c r="J51" s="2" t="s">
        <v>236</v>
      </c>
      <c r="K51" s="2" t="s">
        <v>236</v>
      </c>
      <c r="L51" s="2" t="s">
        <v>237</v>
      </c>
      <c r="M51" s="2" t="s">
        <v>1060</v>
      </c>
      <c r="N51" s="3" t="n">
        <v>43583</v>
      </c>
      <c r="O51" s="2" t="s">
        <v>155</v>
      </c>
      <c r="P51" s="2" t="n">
        <v>870</v>
      </c>
      <c r="Q51" s="2" t="s">
        <v>1061</v>
      </c>
      <c r="R51" s="2" t="s">
        <v>113</v>
      </c>
      <c r="S51" s="2" t="s">
        <v>1062</v>
      </c>
      <c r="T51" s="2" t="s">
        <v>157</v>
      </c>
      <c r="U51" s="2" t="s">
        <v>116</v>
      </c>
      <c r="V51" s="2" t="s">
        <v>117</v>
      </c>
      <c r="W51" s="2" t="s">
        <v>118</v>
      </c>
      <c r="X51" s="2" t="s">
        <v>1063</v>
      </c>
      <c r="Y51" s="3" t="n">
        <v>45801</v>
      </c>
      <c r="Z51" s="2" t="s">
        <v>1064</v>
      </c>
      <c r="AA51" s="2" t="s">
        <v>161</v>
      </c>
      <c r="AB51" s="2" t="s">
        <v>122</v>
      </c>
      <c r="AC51" s="2" t="s">
        <v>1065</v>
      </c>
      <c r="AD51" s="2" t="s">
        <v>515</v>
      </c>
      <c r="AE51" s="2" t="s">
        <v>395</v>
      </c>
      <c r="AF51" s="2" t="s">
        <v>1066</v>
      </c>
      <c r="AG51" s="2" t="s">
        <v>763</v>
      </c>
      <c r="AH51" s="2" t="n">
        <v>5</v>
      </c>
      <c r="AI51" s="4" t="n">
        <v>214.36</v>
      </c>
      <c r="AJ51" s="5" t="n">
        <v>0.15</v>
      </c>
      <c r="AK51" s="5" t="n">
        <v>0.08</v>
      </c>
      <c r="AL51" s="4" t="n">
        <v>10.65</v>
      </c>
      <c r="AM51" s="2" t="s">
        <v>221</v>
      </c>
      <c r="AN51" s="2" t="s">
        <v>129</v>
      </c>
      <c r="AO51" s="2" t="s">
        <v>158</v>
      </c>
      <c r="AP51" s="4" t="n">
        <v>96.46</v>
      </c>
      <c r="AQ51" s="2" t="s">
        <v>1067</v>
      </c>
      <c r="AR51" s="2" t="s">
        <v>1068</v>
      </c>
      <c r="AS51" s="2" t="s">
        <v>236</v>
      </c>
      <c r="AT51" s="2" t="s">
        <v>235</v>
      </c>
      <c r="AU51" s="2" t="s">
        <v>133</v>
      </c>
      <c r="AV51" s="2" t="s">
        <v>134</v>
      </c>
      <c r="AW51" s="2" t="s">
        <v>1069</v>
      </c>
      <c r="AX51" s="3" t="n">
        <v>45809</v>
      </c>
      <c r="AY51" s="3" t="n">
        <v>45811</v>
      </c>
      <c r="AZ51" s="2" t="s">
        <v>175</v>
      </c>
      <c r="BA51" s="2" t="s">
        <v>118</v>
      </c>
      <c r="BB51" s="2" t="s">
        <v>113</v>
      </c>
      <c r="BC51" s="2" t="s">
        <v>113</v>
      </c>
      <c r="BD51" s="2" t="s">
        <v>118</v>
      </c>
      <c r="BE51" s="2" t="s">
        <v>113</v>
      </c>
      <c r="BF51" s="2" t="s">
        <v>353</v>
      </c>
      <c r="BG51" s="2" t="s">
        <v>561</v>
      </c>
      <c r="BH51" s="2" t="s">
        <v>1070</v>
      </c>
      <c r="BI51" s="4" t="n">
        <v>447.79</v>
      </c>
      <c r="BJ51" s="2" t="n">
        <v>6905</v>
      </c>
      <c r="BK51" s="2" t="n">
        <v>989</v>
      </c>
      <c r="BL51" s="2" t="s">
        <v>113</v>
      </c>
      <c r="BM51" s="2" t="s">
        <v>117</v>
      </c>
      <c r="BN51" s="2" t="s">
        <v>177</v>
      </c>
      <c r="BO51" s="2" t="s">
        <v>178</v>
      </c>
      <c r="BP51" s="2" t="s">
        <v>143</v>
      </c>
      <c r="BQ51" s="2" t="n">
        <v>33.1</v>
      </c>
      <c r="BR51" s="2" t="n">
        <v>24</v>
      </c>
      <c r="BS51" s="2" t="s">
        <v>118</v>
      </c>
      <c r="BT51" s="2" t="n">
        <v>5</v>
      </c>
      <c r="BU51" s="2" t="n">
        <v>4.3</v>
      </c>
      <c r="BV51" s="2" t="n">
        <v>26</v>
      </c>
      <c r="BW51" s="3" t="n">
        <v>45917</v>
      </c>
      <c r="BX51" s="2" t="n">
        <v>5</v>
      </c>
      <c r="BY51" s="2" t="n">
        <v>69</v>
      </c>
      <c r="BZ51" s="2" t="s">
        <v>118</v>
      </c>
      <c r="CA51" s="2" t="n">
        <v>-72</v>
      </c>
      <c r="CB51" s="2" t="n">
        <v>10</v>
      </c>
      <c r="CC51" s="2" t="n">
        <v>5</v>
      </c>
      <c r="CD51" s="2" t="n">
        <v>35.8</v>
      </c>
      <c r="CE51" s="4" t="n">
        <v>14244.22</v>
      </c>
      <c r="CF51" s="5" t="n">
        <v>78</v>
      </c>
      <c r="CG51" s="2" t="n">
        <v>376</v>
      </c>
      <c r="CH51" s="2" t="s">
        <v>144</v>
      </c>
      <c r="CI51" s="2" t="s">
        <v>118</v>
      </c>
      <c r="CJ51" s="2" t="n">
        <v>6</v>
      </c>
      <c r="CK51" s="2" t="n">
        <v>22</v>
      </c>
      <c r="CL51" s="4" t="n">
        <v>85.57</v>
      </c>
      <c r="CM51" s="2" t="n">
        <v>356</v>
      </c>
      <c r="CN51" s="2" t="s">
        <v>118</v>
      </c>
      <c r="CO51" s="4" t="n">
        <f aca="false">AH51*AI51</f>
        <v>1071.8</v>
      </c>
      <c r="CP51" s="4" t="n">
        <f aca="false">CO51*AJ51</f>
        <v>160.77</v>
      </c>
      <c r="CQ51" s="4" t="n">
        <f aca="false">(CO51-CP51)*AK51</f>
        <v>72.8824</v>
      </c>
      <c r="CR51" s="4" t="n">
        <f aca="false">CO51-CP51+CQ51+AL51</f>
        <v>994.5624</v>
      </c>
      <c r="CS51" s="4" t="n">
        <f aca="false">CR51-(AP51*AH51)-AL51</f>
        <v>501.6124</v>
      </c>
      <c r="CT51" s="5" t="n">
        <f aca="false">IFERROR(CS51/CR51,0)</f>
        <v>0.50435488009601</v>
      </c>
      <c r="CU51" s="6" t="n">
        <f aca="false">IFERROR(BK51/BJ51,0)</f>
        <v>0.143229543808834</v>
      </c>
      <c r="CV51" s="2" t="n">
        <f aca="false">IF(AY51="N/A","N/A",AY51-AX51)</f>
        <v>2</v>
      </c>
    </row>
    <row r="52" customFormat="false" ht="15" hidden="false" customHeight="false" outlineLevel="0" collapsed="false">
      <c r="A52" s="2" t="s">
        <v>1071</v>
      </c>
      <c r="B52" s="2" t="s">
        <v>1042</v>
      </c>
      <c r="C52" s="2" t="s">
        <v>975</v>
      </c>
      <c r="D52" s="2" t="s">
        <v>1072</v>
      </c>
      <c r="E52" s="2" t="s">
        <v>1073</v>
      </c>
      <c r="F52" s="2" t="s">
        <v>150</v>
      </c>
      <c r="G52" s="2" t="n">
        <v>55</v>
      </c>
      <c r="H52" s="3" t="n">
        <v>25806</v>
      </c>
      <c r="I52" s="2" t="s">
        <v>151</v>
      </c>
      <c r="J52" s="2" t="s">
        <v>152</v>
      </c>
      <c r="K52" s="2" t="s">
        <v>152</v>
      </c>
      <c r="L52" s="2" t="s">
        <v>153</v>
      </c>
      <c r="M52" s="2" t="s">
        <v>1074</v>
      </c>
      <c r="N52" s="3" t="n">
        <v>44895</v>
      </c>
      <c r="O52" s="2" t="s">
        <v>155</v>
      </c>
      <c r="P52" s="2" t="n">
        <v>3110</v>
      </c>
      <c r="Q52" s="2" t="s">
        <v>1075</v>
      </c>
      <c r="R52" s="2" t="s">
        <v>564</v>
      </c>
      <c r="S52" s="2" t="s">
        <v>114</v>
      </c>
      <c r="T52" s="2" t="s">
        <v>551</v>
      </c>
      <c r="U52" s="2" t="s">
        <v>158</v>
      </c>
      <c r="V52" s="2" t="s">
        <v>117</v>
      </c>
      <c r="W52" s="2" t="s">
        <v>117</v>
      </c>
      <c r="X52" s="2" t="s">
        <v>1076</v>
      </c>
      <c r="Y52" s="3" t="n">
        <v>45659</v>
      </c>
      <c r="Z52" s="2" t="s">
        <v>1077</v>
      </c>
      <c r="AA52" s="2" t="s">
        <v>161</v>
      </c>
      <c r="AB52" s="2" t="s">
        <v>122</v>
      </c>
      <c r="AC52" s="2" t="s">
        <v>1078</v>
      </c>
      <c r="AD52" s="2" t="s">
        <v>195</v>
      </c>
      <c r="AE52" s="2" t="s">
        <v>125</v>
      </c>
      <c r="AF52" s="2" t="s">
        <v>589</v>
      </c>
      <c r="AG52" s="2" t="s">
        <v>457</v>
      </c>
      <c r="AH52" s="2" t="n">
        <v>4</v>
      </c>
      <c r="AI52" s="4" t="n">
        <v>24.04</v>
      </c>
      <c r="AJ52" s="5" t="n">
        <v>0.2</v>
      </c>
      <c r="AK52" s="5" t="n">
        <v>0.08</v>
      </c>
      <c r="AL52" s="4" t="n">
        <v>1.26</v>
      </c>
      <c r="AM52" s="2" t="s">
        <v>168</v>
      </c>
      <c r="AN52" s="2" t="s">
        <v>129</v>
      </c>
      <c r="AO52" s="2" t="s">
        <v>116</v>
      </c>
      <c r="AP52" s="4" t="n">
        <v>8.41</v>
      </c>
      <c r="AQ52" s="2" t="s">
        <v>1079</v>
      </c>
      <c r="AR52" s="2" t="s">
        <v>1080</v>
      </c>
      <c r="AS52" s="2" t="s">
        <v>152</v>
      </c>
      <c r="AT52" s="2" t="s">
        <v>151</v>
      </c>
      <c r="AU52" s="2" t="s">
        <v>133</v>
      </c>
      <c r="AV52" s="2" t="s">
        <v>201</v>
      </c>
      <c r="AW52" s="2" t="s">
        <v>1081</v>
      </c>
      <c r="AX52" s="3" t="n">
        <v>45668</v>
      </c>
      <c r="AY52" s="3" t="n">
        <v>45666</v>
      </c>
      <c r="AZ52" s="2" t="s">
        <v>136</v>
      </c>
      <c r="BA52" s="2" t="s">
        <v>118</v>
      </c>
      <c r="BB52" s="2" t="s">
        <v>113</v>
      </c>
      <c r="BC52" s="2" t="s">
        <v>113</v>
      </c>
      <c r="BD52" s="2" t="s">
        <v>118</v>
      </c>
      <c r="BE52" s="2" t="s">
        <v>113</v>
      </c>
      <c r="BF52" s="2" t="s">
        <v>204</v>
      </c>
      <c r="BG52" s="2" t="s">
        <v>205</v>
      </c>
      <c r="BH52" s="2" t="s">
        <v>1082</v>
      </c>
      <c r="BI52" s="4" t="n">
        <v>226.3</v>
      </c>
      <c r="BJ52" s="2" t="n">
        <v>505</v>
      </c>
      <c r="BK52" s="2" t="n">
        <v>72</v>
      </c>
      <c r="BL52" s="2" t="s">
        <v>563</v>
      </c>
      <c r="BM52" s="2" t="s">
        <v>118</v>
      </c>
      <c r="BN52" s="2" t="s">
        <v>141</v>
      </c>
      <c r="BO52" s="2" t="s">
        <v>142</v>
      </c>
      <c r="BP52" s="2" t="s">
        <v>259</v>
      </c>
      <c r="BQ52" s="2" t="n">
        <v>1.3</v>
      </c>
      <c r="BR52" s="2" t="n">
        <v>26</v>
      </c>
      <c r="BS52" s="2" t="s">
        <v>118</v>
      </c>
      <c r="BT52" s="2" t="n">
        <v>17</v>
      </c>
      <c r="BU52" s="2" t="n">
        <v>16.9</v>
      </c>
      <c r="BV52" s="2" t="n">
        <v>53</v>
      </c>
      <c r="BW52" s="3" t="n">
        <v>45705</v>
      </c>
      <c r="BX52" s="2" t="n">
        <v>4</v>
      </c>
      <c r="BY52" s="2" t="n">
        <v>77</v>
      </c>
      <c r="BZ52" s="2" t="s">
        <v>118</v>
      </c>
      <c r="CA52" s="2" t="n">
        <v>79</v>
      </c>
      <c r="CB52" s="2" t="n">
        <v>10</v>
      </c>
      <c r="CC52" s="2" t="n">
        <v>0</v>
      </c>
      <c r="CD52" s="2" t="n">
        <v>0</v>
      </c>
      <c r="CE52" s="4" t="n">
        <v>6521.08</v>
      </c>
      <c r="CF52" s="5" t="n">
        <v>72.7</v>
      </c>
      <c r="CG52" s="2" t="n">
        <v>793</v>
      </c>
      <c r="CH52" s="2" t="s">
        <v>144</v>
      </c>
      <c r="CI52" s="2" t="s">
        <v>117</v>
      </c>
      <c r="CJ52" s="2" t="n">
        <v>10</v>
      </c>
      <c r="CK52" s="2" t="n">
        <v>59</v>
      </c>
      <c r="CL52" s="4" t="n">
        <v>571.21</v>
      </c>
      <c r="CM52" s="2" t="n">
        <v>186</v>
      </c>
      <c r="CN52" s="2" t="s">
        <v>118</v>
      </c>
      <c r="CO52" s="4" t="n">
        <f aca="false">AH52*AI52</f>
        <v>96.16</v>
      </c>
      <c r="CP52" s="4" t="n">
        <f aca="false">CO52*AJ52</f>
        <v>19.232</v>
      </c>
      <c r="CQ52" s="4" t="n">
        <f aca="false">(CO52-CP52)*AK52</f>
        <v>6.15424</v>
      </c>
      <c r="CR52" s="4" t="n">
        <f aca="false">CO52-CP52+CQ52+AL52</f>
        <v>84.34224</v>
      </c>
      <c r="CS52" s="4" t="n">
        <f aca="false">CR52-(AP52*AH52)-AL52</f>
        <v>49.44224</v>
      </c>
      <c r="CT52" s="5" t="n">
        <f aca="false">IFERROR(CS52/CR52,0)</f>
        <v>0.586209709393538</v>
      </c>
      <c r="CU52" s="6" t="n">
        <f aca="false">IFERROR(BK52/BJ52,0)</f>
        <v>0.142574257425743</v>
      </c>
      <c r="CV52" s="2" t="n">
        <f aca="false">IF(AY52="N/A","N/A",AY52-AX52)</f>
        <v>-2</v>
      </c>
    </row>
    <row r="53" customFormat="false" ht="15" hidden="false" customHeight="false" outlineLevel="0" collapsed="false">
      <c r="A53" s="2" t="s">
        <v>1083</v>
      </c>
      <c r="B53" s="2" t="s">
        <v>682</v>
      </c>
      <c r="C53" s="2" t="s">
        <v>771</v>
      </c>
      <c r="D53" s="2" t="s">
        <v>1084</v>
      </c>
      <c r="E53" s="2" t="s">
        <v>1085</v>
      </c>
      <c r="F53" s="2" t="s">
        <v>150</v>
      </c>
      <c r="G53" s="2" t="n">
        <v>53</v>
      </c>
      <c r="H53" s="3" t="n">
        <v>26592</v>
      </c>
      <c r="I53" s="2" t="s">
        <v>807</v>
      </c>
      <c r="J53" s="2" t="s">
        <v>808</v>
      </c>
      <c r="K53" s="2" t="s">
        <v>809</v>
      </c>
      <c r="L53" s="2" t="s">
        <v>810</v>
      </c>
      <c r="M53" s="2" t="s">
        <v>1086</v>
      </c>
      <c r="N53" s="3" t="n">
        <v>44589</v>
      </c>
      <c r="O53" s="2" t="s">
        <v>111</v>
      </c>
      <c r="P53" s="2" t="n">
        <v>934</v>
      </c>
      <c r="Q53" s="2" t="s">
        <v>1087</v>
      </c>
      <c r="R53" s="2" t="s">
        <v>113</v>
      </c>
      <c r="S53" s="2" t="s">
        <v>114</v>
      </c>
      <c r="T53" s="2" t="s">
        <v>115</v>
      </c>
      <c r="U53" s="2" t="s">
        <v>222</v>
      </c>
      <c r="V53" s="2" t="s">
        <v>118</v>
      </c>
      <c r="W53" s="2" t="s">
        <v>117</v>
      </c>
      <c r="X53" s="2" t="s">
        <v>1088</v>
      </c>
      <c r="Y53" s="3" t="n">
        <v>45391</v>
      </c>
      <c r="Z53" s="2" t="s">
        <v>1089</v>
      </c>
      <c r="AA53" s="2" t="s">
        <v>121</v>
      </c>
      <c r="AB53" s="2" t="s">
        <v>162</v>
      </c>
      <c r="AC53" s="2" t="s">
        <v>1090</v>
      </c>
      <c r="AD53" s="2" t="s">
        <v>795</v>
      </c>
      <c r="AE53" s="2" t="s">
        <v>625</v>
      </c>
      <c r="AF53" s="2" t="s">
        <v>796</v>
      </c>
      <c r="AG53" s="2" t="s">
        <v>865</v>
      </c>
      <c r="AH53" s="2" t="n">
        <v>3</v>
      </c>
      <c r="AI53" s="4" t="n">
        <v>150.74</v>
      </c>
      <c r="AJ53" s="5" t="n">
        <v>0.1</v>
      </c>
      <c r="AK53" s="5" t="n">
        <v>0.08</v>
      </c>
      <c r="AL53" s="4" t="n">
        <v>20.97</v>
      </c>
      <c r="AM53" s="2" t="s">
        <v>198</v>
      </c>
      <c r="AN53" s="2" t="s">
        <v>557</v>
      </c>
      <c r="AO53" s="2" t="s">
        <v>158</v>
      </c>
      <c r="AP53" s="4" t="n">
        <v>67.83</v>
      </c>
      <c r="AQ53" s="2" t="s">
        <v>1091</v>
      </c>
      <c r="AR53" s="2" t="s">
        <v>1092</v>
      </c>
      <c r="AS53" s="2" t="s">
        <v>809</v>
      </c>
      <c r="AT53" s="2" t="s">
        <v>807</v>
      </c>
      <c r="AU53" s="2" t="s">
        <v>172</v>
      </c>
      <c r="AV53" s="2" t="s">
        <v>134</v>
      </c>
      <c r="AW53" s="2" t="s">
        <v>1093</v>
      </c>
      <c r="AX53" s="3" t="n">
        <v>45401</v>
      </c>
      <c r="AY53" s="2" t="s">
        <v>113</v>
      </c>
      <c r="AZ53" s="2" t="s">
        <v>175</v>
      </c>
      <c r="BA53" s="2" t="s">
        <v>117</v>
      </c>
      <c r="BB53" s="2" t="s">
        <v>901</v>
      </c>
      <c r="BC53" s="3" t="n">
        <v>45406</v>
      </c>
      <c r="BD53" s="2" t="s">
        <v>118</v>
      </c>
      <c r="BE53" s="2" t="s">
        <v>254</v>
      </c>
      <c r="BF53" s="2" t="s">
        <v>280</v>
      </c>
      <c r="BG53" s="2" t="s">
        <v>1094</v>
      </c>
      <c r="BH53" s="2" t="s">
        <v>1095</v>
      </c>
      <c r="BI53" s="4" t="n">
        <v>212.24</v>
      </c>
      <c r="BJ53" s="2" t="n">
        <v>16235</v>
      </c>
      <c r="BK53" s="2" t="n">
        <v>580</v>
      </c>
      <c r="BL53" s="2" t="s">
        <v>113</v>
      </c>
      <c r="BM53" s="2" t="s">
        <v>118</v>
      </c>
      <c r="BN53" s="2" t="s">
        <v>177</v>
      </c>
      <c r="BO53" s="2" t="s">
        <v>142</v>
      </c>
      <c r="BP53" s="2" t="s">
        <v>259</v>
      </c>
      <c r="BQ53" s="2" t="n">
        <v>11.5</v>
      </c>
      <c r="BR53" s="2" t="n">
        <v>26</v>
      </c>
      <c r="BS53" s="2" t="s">
        <v>118</v>
      </c>
      <c r="BT53" s="2" t="n">
        <v>9</v>
      </c>
      <c r="BU53" s="2" t="n">
        <v>14.1</v>
      </c>
      <c r="BV53" s="2" t="n">
        <v>9</v>
      </c>
      <c r="BW53" s="3" t="n">
        <v>45532</v>
      </c>
      <c r="BX53" s="2" t="n">
        <v>3</v>
      </c>
      <c r="BY53" s="2" t="n">
        <v>105</v>
      </c>
      <c r="BZ53" s="2" t="s">
        <v>118</v>
      </c>
      <c r="CA53" s="2" t="n">
        <v>-70</v>
      </c>
      <c r="CB53" s="2" t="n">
        <v>7</v>
      </c>
      <c r="CC53" s="2" t="n">
        <v>1</v>
      </c>
      <c r="CD53" s="2" t="n">
        <v>33.2</v>
      </c>
      <c r="CE53" s="4" t="n">
        <v>11732.24</v>
      </c>
      <c r="CF53" s="5" t="n">
        <v>71.7</v>
      </c>
      <c r="CG53" s="2" t="n">
        <v>410</v>
      </c>
      <c r="CH53" s="2" t="s">
        <v>144</v>
      </c>
      <c r="CI53" s="2" t="s">
        <v>117</v>
      </c>
      <c r="CJ53" s="2" t="n">
        <v>8</v>
      </c>
      <c r="CK53" s="2" t="n">
        <v>41</v>
      </c>
      <c r="CL53" s="4" t="n">
        <v>432.89</v>
      </c>
      <c r="CM53" s="2" t="n">
        <v>283</v>
      </c>
      <c r="CN53" s="2" t="s">
        <v>118</v>
      </c>
      <c r="CO53" s="4" t="n">
        <f aca="false">AH53*AI53</f>
        <v>452.22</v>
      </c>
      <c r="CP53" s="4" t="n">
        <f aca="false">CO53*AJ53</f>
        <v>45.222</v>
      </c>
      <c r="CQ53" s="4" t="n">
        <f aca="false">(CO53-CP53)*AK53</f>
        <v>32.55984</v>
      </c>
      <c r="CR53" s="4" t="n">
        <f aca="false">CO53-CP53+CQ53+AL53</f>
        <v>460.52784</v>
      </c>
      <c r="CS53" s="4" t="n">
        <f aca="false">CR53-(AP53*AH53)-AL53</f>
        <v>236.06784</v>
      </c>
      <c r="CT53" s="5" t="n">
        <f aca="false">IFERROR(CS53/CR53,0)</f>
        <v>0.512602756002764</v>
      </c>
      <c r="CU53" s="6" t="n">
        <f aca="false">IFERROR(BK53/BJ53,0)</f>
        <v>0.0357252848783492</v>
      </c>
      <c r="CV53" s="2" t="str">
        <f aca="false">IF(AY53="N/A","N/A",AY53-AX53)</f>
        <v>N/A</v>
      </c>
    </row>
    <row r="54" customFormat="false" ht="15" hidden="false" customHeight="false" outlineLevel="0" collapsed="false">
      <c r="A54" s="2" t="s">
        <v>1096</v>
      </c>
      <c r="B54" s="2" t="s">
        <v>382</v>
      </c>
      <c r="C54" s="2" t="s">
        <v>1097</v>
      </c>
      <c r="D54" s="2" t="s">
        <v>1098</v>
      </c>
      <c r="E54" s="2" t="s">
        <v>1099</v>
      </c>
      <c r="F54" s="2" t="s">
        <v>184</v>
      </c>
      <c r="G54" s="2" t="n">
        <v>63</v>
      </c>
      <c r="H54" s="3" t="n">
        <v>22788</v>
      </c>
      <c r="I54" s="2" t="s">
        <v>526</v>
      </c>
      <c r="J54" s="2" t="s">
        <v>700</v>
      </c>
      <c r="K54" s="2" t="s">
        <v>701</v>
      </c>
      <c r="L54" s="2" t="s">
        <v>702</v>
      </c>
      <c r="M54" s="2" t="s">
        <v>1100</v>
      </c>
      <c r="N54" s="3" t="n">
        <v>43644</v>
      </c>
      <c r="O54" s="2" t="s">
        <v>859</v>
      </c>
      <c r="P54" s="2" t="n">
        <v>1456</v>
      </c>
      <c r="Q54" s="2" t="s">
        <v>1101</v>
      </c>
      <c r="R54" s="2" t="s">
        <v>1102</v>
      </c>
      <c r="S54" s="2" t="s">
        <v>114</v>
      </c>
      <c r="T54" s="2" t="s">
        <v>115</v>
      </c>
      <c r="U54" s="2" t="s">
        <v>130</v>
      </c>
      <c r="V54" s="2" t="s">
        <v>117</v>
      </c>
      <c r="W54" s="2" t="s">
        <v>117</v>
      </c>
      <c r="X54" s="2" t="s">
        <v>1103</v>
      </c>
      <c r="Y54" s="3" t="n">
        <v>45807</v>
      </c>
      <c r="Z54" s="2" t="s">
        <v>1104</v>
      </c>
      <c r="AA54" s="2" t="s">
        <v>242</v>
      </c>
      <c r="AB54" s="2" t="s">
        <v>218</v>
      </c>
      <c r="AC54" s="2" t="s">
        <v>1105</v>
      </c>
      <c r="AD54" s="2" t="s">
        <v>1106</v>
      </c>
      <c r="AE54" s="2" t="s">
        <v>125</v>
      </c>
      <c r="AF54" s="2" t="s">
        <v>275</v>
      </c>
      <c r="AG54" s="2" t="s">
        <v>127</v>
      </c>
      <c r="AH54" s="2" t="n">
        <v>5</v>
      </c>
      <c r="AI54" s="4" t="n">
        <v>76.21</v>
      </c>
      <c r="AJ54" s="5" t="n">
        <v>0.2</v>
      </c>
      <c r="AK54" s="5" t="n">
        <v>0.08</v>
      </c>
      <c r="AL54" s="4" t="n">
        <v>19.61</v>
      </c>
      <c r="AM54" s="2" t="s">
        <v>128</v>
      </c>
      <c r="AN54" s="2" t="s">
        <v>129</v>
      </c>
      <c r="AO54" s="2" t="s">
        <v>130</v>
      </c>
      <c r="AP54" s="4" t="n">
        <v>26.67</v>
      </c>
      <c r="AQ54" s="2" t="s">
        <v>1107</v>
      </c>
      <c r="AR54" s="2" t="s">
        <v>1108</v>
      </c>
      <c r="AS54" s="2" t="s">
        <v>701</v>
      </c>
      <c r="AT54" s="2" t="s">
        <v>526</v>
      </c>
      <c r="AU54" s="2" t="s">
        <v>350</v>
      </c>
      <c r="AV54" s="2" t="s">
        <v>201</v>
      </c>
      <c r="AW54" s="2" t="s">
        <v>1109</v>
      </c>
      <c r="AX54" s="3" t="n">
        <v>45817</v>
      </c>
      <c r="AY54" s="2" t="s">
        <v>113</v>
      </c>
      <c r="AZ54" s="2" t="s">
        <v>203</v>
      </c>
      <c r="BA54" s="2" t="s">
        <v>118</v>
      </c>
      <c r="BB54" s="2" t="s">
        <v>113</v>
      </c>
      <c r="BC54" s="2" t="s">
        <v>113</v>
      </c>
      <c r="BD54" s="2" t="s">
        <v>118</v>
      </c>
      <c r="BE54" s="2" t="s">
        <v>113</v>
      </c>
      <c r="BF54" s="2" t="s">
        <v>440</v>
      </c>
      <c r="BG54" s="2" t="s">
        <v>1110</v>
      </c>
      <c r="BH54" s="2" t="s">
        <v>1111</v>
      </c>
      <c r="BI54" s="4" t="n">
        <v>11.42</v>
      </c>
      <c r="BJ54" s="2" t="n">
        <v>518</v>
      </c>
      <c r="BK54" s="2" t="n">
        <v>71</v>
      </c>
      <c r="BL54" s="2" t="s">
        <v>1112</v>
      </c>
      <c r="BM54" s="2" t="s">
        <v>118</v>
      </c>
      <c r="BN54" s="2" t="s">
        <v>177</v>
      </c>
      <c r="BO54" s="2" t="s">
        <v>258</v>
      </c>
      <c r="BP54" s="2" t="s">
        <v>328</v>
      </c>
      <c r="BQ54" s="2" t="n">
        <v>38.8</v>
      </c>
      <c r="BR54" s="2" t="n">
        <v>29</v>
      </c>
      <c r="BS54" s="2" t="s">
        <v>118</v>
      </c>
      <c r="BT54" s="2" t="n">
        <v>20</v>
      </c>
      <c r="BU54" s="2" t="n">
        <v>21.4</v>
      </c>
      <c r="BV54" s="2" t="n">
        <v>42</v>
      </c>
      <c r="BW54" s="3" t="n">
        <v>45901</v>
      </c>
      <c r="BX54" s="2" t="n">
        <v>2</v>
      </c>
      <c r="BY54" s="2" t="n">
        <v>150</v>
      </c>
      <c r="BZ54" s="2" t="s">
        <v>118</v>
      </c>
      <c r="CA54" s="2" t="n">
        <v>-86</v>
      </c>
      <c r="CB54" s="2" t="n">
        <v>4</v>
      </c>
      <c r="CC54" s="2" t="n">
        <v>2</v>
      </c>
      <c r="CD54" s="2" t="n">
        <v>54.1</v>
      </c>
      <c r="CE54" s="4" t="n">
        <v>2455.98</v>
      </c>
      <c r="CF54" s="5" t="n">
        <v>28.7</v>
      </c>
      <c r="CG54" s="2" t="n">
        <v>556</v>
      </c>
      <c r="CH54" s="2" t="s">
        <v>144</v>
      </c>
      <c r="CI54" s="2" t="s">
        <v>117</v>
      </c>
      <c r="CJ54" s="2" t="n">
        <v>3</v>
      </c>
      <c r="CK54" s="2" t="n">
        <v>38</v>
      </c>
      <c r="CL54" s="4" t="n">
        <v>280.31</v>
      </c>
      <c r="CM54" s="2" t="n">
        <v>349</v>
      </c>
      <c r="CN54" s="2" t="s">
        <v>117</v>
      </c>
      <c r="CO54" s="4" t="n">
        <f aca="false">AH54*AI54</f>
        <v>381.05</v>
      </c>
      <c r="CP54" s="4" t="n">
        <f aca="false">CO54*AJ54</f>
        <v>76.21</v>
      </c>
      <c r="CQ54" s="4" t="n">
        <f aca="false">(CO54-CP54)*AK54</f>
        <v>24.3872</v>
      </c>
      <c r="CR54" s="4" t="n">
        <f aca="false">CO54-CP54+CQ54+AL54</f>
        <v>348.8372</v>
      </c>
      <c r="CS54" s="4" t="n">
        <f aca="false">CR54-(AP54*AH54)-AL54</f>
        <v>195.8772</v>
      </c>
      <c r="CT54" s="5" t="n">
        <f aca="false">IFERROR(CS54/CR54,0)</f>
        <v>0.561514654973724</v>
      </c>
      <c r="CU54" s="6" t="n">
        <f aca="false">IFERROR(BK54/BJ54,0)</f>
        <v>0.137065637065637</v>
      </c>
      <c r="CV54" s="2" t="str">
        <f aca="false">IF(AY54="N/A","N/A",AY54-AX54)</f>
        <v>N/A</v>
      </c>
    </row>
    <row r="55" customFormat="false" ht="15" hidden="false" customHeight="false" outlineLevel="0" collapsed="false">
      <c r="A55" s="2" t="s">
        <v>1113</v>
      </c>
      <c r="B55" s="2" t="s">
        <v>1114</v>
      </c>
      <c r="C55" s="2" t="s">
        <v>754</v>
      </c>
      <c r="D55" s="2" t="s">
        <v>1115</v>
      </c>
      <c r="E55" s="2" t="s">
        <v>1116</v>
      </c>
      <c r="F55" s="2" t="s">
        <v>184</v>
      </c>
      <c r="G55" s="2" t="n">
        <v>25</v>
      </c>
      <c r="H55" s="3" t="n">
        <v>36709</v>
      </c>
      <c r="I55" s="2" t="s">
        <v>737</v>
      </c>
      <c r="J55" s="2" t="s">
        <v>738</v>
      </c>
      <c r="K55" s="2" t="s">
        <v>739</v>
      </c>
      <c r="L55" s="2" t="s">
        <v>740</v>
      </c>
      <c r="M55" s="2" t="s">
        <v>1117</v>
      </c>
      <c r="N55" s="3" t="n">
        <v>44244</v>
      </c>
      <c r="O55" s="2" t="s">
        <v>311</v>
      </c>
      <c r="P55" s="2" t="n">
        <v>1065</v>
      </c>
      <c r="Q55" s="2" t="s">
        <v>1118</v>
      </c>
      <c r="R55" s="2" t="s">
        <v>113</v>
      </c>
      <c r="S55" s="2" t="s">
        <v>190</v>
      </c>
      <c r="T55" s="2" t="s">
        <v>115</v>
      </c>
      <c r="U55" s="2" t="s">
        <v>215</v>
      </c>
      <c r="V55" s="2" t="s">
        <v>117</v>
      </c>
      <c r="W55" s="2" t="s">
        <v>117</v>
      </c>
      <c r="X55" s="2" t="s">
        <v>1119</v>
      </c>
      <c r="Y55" s="3" t="n">
        <v>45456</v>
      </c>
      <c r="Z55" s="2" t="s">
        <v>1120</v>
      </c>
      <c r="AA55" s="2" t="s">
        <v>368</v>
      </c>
      <c r="AB55" s="2" t="s">
        <v>162</v>
      </c>
      <c r="AC55" s="2" t="s">
        <v>1121</v>
      </c>
      <c r="AD55" s="2" t="s">
        <v>1106</v>
      </c>
      <c r="AE55" s="2" t="s">
        <v>125</v>
      </c>
      <c r="AF55" s="2" t="s">
        <v>275</v>
      </c>
      <c r="AG55" s="2" t="s">
        <v>127</v>
      </c>
      <c r="AH55" s="2" t="n">
        <v>4</v>
      </c>
      <c r="AI55" s="4" t="n">
        <v>108.78</v>
      </c>
      <c r="AJ55" s="5" t="n">
        <v>0</v>
      </c>
      <c r="AK55" s="5" t="n">
        <v>0.08</v>
      </c>
      <c r="AL55" s="4" t="n">
        <v>16.72</v>
      </c>
      <c r="AM55" s="2" t="s">
        <v>198</v>
      </c>
      <c r="AN55" s="2" t="s">
        <v>129</v>
      </c>
      <c r="AO55" s="2" t="s">
        <v>130</v>
      </c>
      <c r="AP55" s="4" t="n">
        <v>38.07</v>
      </c>
      <c r="AQ55" s="2" t="s">
        <v>1122</v>
      </c>
      <c r="AR55" s="2" t="s">
        <v>1123</v>
      </c>
      <c r="AS55" s="2" t="s">
        <v>739</v>
      </c>
      <c r="AT55" s="2" t="s">
        <v>737</v>
      </c>
      <c r="AU55" s="2" t="s">
        <v>251</v>
      </c>
      <c r="AV55" s="2" t="s">
        <v>351</v>
      </c>
      <c r="AW55" s="2" t="s">
        <v>1124</v>
      </c>
      <c r="AX55" s="3" t="n">
        <v>45458</v>
      </c>
      <c r="AY55" s="2" t="s">
        <v>113</v>
      </c>
      <c r="AZ55" s="2" t="s">
        <v>203</v>
      </c>
      <c r="BA55" s="2" t="s">
        <v>117</v>
      </c>
      <c r="BB55" s="2" t="s">
        <v>377</v>
      </c>
      <c r="BC55" s="3" t="n">
        <v>45465</v>
      </c>
      <c r="BD55" s="2" t="s">
        <v>118</v>
      </c>
      <c r="BE55" s="2" t="s">
        <v>378</v>
      </c>
      <c r="BF55" s="2" t="s">
        <v>137</v>
      </c>
      <c r="BG55" s="2" t="s">
        <v>401</v>
      </c>
      <c r="BH55" s="2" t="s">
        <v>1125</v>
      </c>
      <c r="BI55" s="4" t="n">
        <v>272.42</v>
      </c>
      <c r="BJ55" s="2" t="n">
        <v>1766</v>
      </c>
      <c r="BK55" s="2" t="n">
        <v>159</v>
      </c>
      <c r="BL55" s="2" t="s">
        <v>822</v>
      </c>
      <c r="BM55" s="2" t="s">
        <v>118</v>
      </c>
      <c r="BN55" s="2" t="s">
        <v>141</v>
      </c>
      <c r="BO55" s="2" t="s">
        <v>229</v>
      </c>
      <c r="BP55" s="2" t="s">
        <v>357</v>
      </c>
      <c r="BQ55" s="2" t="n">
        <v>17.2</v>
      </c>
      <c r="BR55" s="2" t="n">
        <v>33</v>
      </c>
      <c r="BS55" s="2" t="s">
        <v>118</v>
      </c>
      <c r="BT55" s="2" t="n">
        <v>1</v>
      </c>
      <c r="BU55" s="2" t="n">
        <v>9.6</v>
      </c>
      <c r="BV55" s="2" t="n">
        <v>42</v>
      </c>
      <c r="BW55" s="3" t="n">
        <v>45653</v>
      </c>
      <c r="BX55" s="2" t="n">
        <v>2</v>
      </c>
      <c r="BY55" s="2" t="n">
        <v>82</v>
      </c>
      <c r="BZ55" s="2" t="s">
        <v>118</v>
      </c>
      <c r="CA55" s="2" t="n">
        <v>81</v>
      </c>
      <c r="CB55" s="2" t="n">
        <v>6</v>
      </c>
      <c r="CC55" s="2" t="n">
        <v>4</v>
      </c>
      <c r="CD55" s="2" t="n">
        <v>16.2</v>
      </c>
      <c r="CE55" s="4" t="n">
        <v>2798.84</v>
      </c>
      <c r="CF55" s="5" t="n">
        <v>6.8</v>
      </c>
      <c r="CG55" s="2" t="n">
        <v>817</v>
      </c>
      <c r="CH55" s="2" t="s">
        <v>283</v>
      </c>
      <c r="CI55" s="2" t="s">
        <v>117</v>
      </c>
      <c r="CJ55" s="2" t="n">
        <v>8</v>
      </c>
      <c r="CK55" s="2" t="n">
        <v>69</v>
      </c>
      <c r="CL55" s="4" t="n">
        <v>24.25</v>
      </c>
      <c r="CM55" s="2" t="n">
        <v>33</v>
      </c>
      <c r="CN55" s="2" t="s">
        <v>118</v>
      </c>
      <c r="CO55" s="4" t="n">
        <f aca="false">AH55*AI55</f>
        <v>435.12</v>
      </c>
      <c r="CP55" s="4" t="n">
        <f aca="false">CO55*AJ55</f>
        <v>0</v>
      </c>
      <c r="CQ55" s="4" t="n">
        <f aca="false">(CO55-CP55)*AK55</f>
        <v>34.8096</v>
      </c>
      <c r="CR55" s="4" t="n">
        <f aca="false">CO55-CP55+CQ55+AL55</f>
        <v>486.6496</v>
      </c>
      <c r="CS55" s="4" t="n">
        <f aca="false">CR55-(AP55*AH55)-AL55</f>
        <v>317.6496</v>
      </c>
      <c r="CT55" s="5" t="n">
        <f aca="false">IFERROR(CS55/CR55,0)</f>
        <v>0.652727547705783</v>
      </c>
      <c r="CU55" s="6" t="n">
        <f aca="false">IFERROR(BK55/BJ55,0)</f>
        <v>0.0900339750849377</v>
      </c>
      <c r="CV55" s="2" t="str">
        <f aca="false">IF(AY55="N/A","N/A",AY55-AX55)</f>
        <v>N/A</v>
      </c>
    </row>
    <row r="56" customFormat="false" ht="15" hidden="false" customHeight="false" outlineLevel="0" collapsed="false">
      <c r="A56" s="2" t="s">
        <v>571</v>
      </c>
      <c r="B56" s="2" t="s">
        <v>1126</v>
      </c>
      <c r="C56" s="2" t="s">
        <v>936</v>
      </c>
      <c r="D56" s="2" t="s">
        <v>1127</v>
      </c>
      <c r="E56" s="2" t="s">
        <v>1128</v>
      </c>
      <c r="F56" s="2" t="s">
        <v>105</v>
      </c>
      <c r="G56" s="2" t="n">
        <v>73</v>
      </c>
      <c r="H56" s="3" t="n">
        <v>19312</v>
      </c>
      <c r="I56" s="2" t="s">
        <v>265</v>
      </c>
      <c r="J56" s="2" t="s">
        <v>1129</v>
      </c>
      <c r="K56" s="2" t="s">
        <v>1130</v>
      </c>
      <c r="L56" s="2" t="s">
        <v>1131</v>
      </c>
      <c r="M56" s="2" t="s">
        <v>1132</v>
      </c>
      <c r="N56" s="3" t="n">
        <v>43943</v>
      </c>
      <c r="O56" s="2" t="s">
        <v>311</v>
      </c>
      <c r="P56" s="2" t="n">
        <v>3565</v>
      </c>
      <c r="Q56" s="2" t="s">
        <v>1133</v>
      </c>
      <c r="R56" s="2" t="s">
        <v>113</v>
      </c>
      <c r="S56" s="2" t="s">
        <v>114</v>
      </c>
      <c r="T56" s="2" t="s">
        <v>157</v>
      </c>
      <c r="U56" s="2" t="s">
        <v>158</v>
      </c>
      <c r="V56" s="2" t="s">
        <v>118</v>
      </c>
      <c r="W56" s="2" t="s">
        <v>118</v>
      </c>
      <c r="X56" s="2" t="s">
        <v>1134</v>
      </c>
      <c r="Y56" s="3" t="n">
        <v>45954</v>
      </c>
      <c r="Z56" s="2" t="s">
        <v>1135</v>
      </c>
      <c r="AA56" s="2" t="s">
        <v>161</v>
      </c>
      <c r="AB56" s="2" t="s">
        <v>342</v>
      </c>
      <c r="AC56" s="2" t="s">
        <v>1136</v>
      </c>
      <c r="AD56" s="2" t="s">
        <v>624</v>
      </c>
      <c r="AE56" s="2" t="s">
        <v>625</v>
      </c>
      <c r="AF56" s="2" t="s">
        <v>1137</v>
      </c>
      <c r="AG56" s="2" t="s">
        <v>1138</v>
      </c>
      <c r="AH56" s="2" t="n">
        <v>4</v>
      </c>
      <c r="AI56" s="4" t="n">
        <v>131.3</v>
      </c>
      <c r="AJ56" s="5" t="n">
        <v>0</v>
      </c>
      <c r="AK56" s="5" t="n">
        <v>0.08</v>
      </c>
      <c r="AL56" s="4" t="n">
        <v>9.88</v>
      </c>
      <c r="AM56" s="2" t="s">
        <v>128</v>
      </c>
      <c r="AN56" s="2" t="s">
        <v>129</v>
      </c>
      <c r="AO56" s="2" t="s">
        <v>271</v>
      </c>
      <c r="AP56" s="4" t="n">
        <v>59.09</v>
      </c>
      <c r="AQ56" s="2" t="s">
        <v>1139</v>
      </c>
      <c r="AR56" s="2" t="s">
        <v>1140</v>
      </c>
      <c r="AS56" s="2" t="s">
        <v>1130</v>
      </c>
      <c r="AT56" s="2" t="s">
        <v>265</v>
      </c>
      <c r="AU56" s="2" t="s">
        <v>251</v>
      </c>
      <c r="AV56" s="2" t="s">
        <v>278</v>
      </c>
      <c r="AW56" s="2" t="s">
        <v>1141</v>
      </c>
      <c r="AX56" s="3" t="n">
        <v>45957</v>
      </c>
      <c r="AY56" s="3" t="n">
        <v>45956</v>
      </c>
      <c r="AZ56" s="2" t="s">
        <v>203</v>
      </c>
      <c r="BA56" s="2" t="s">
        <v>118</v>
      </c>
      <c r="BB56" s="2" t="s">
        <v>113</v>
      </c>
      <c r="BC56" s="2" t="s">
        <v>113</v>
      </c>
      <c r="BD56" s="2" t="s">
        <v>118</v>
      </c>
      <c r="BE56" s="2" t="s">
        <v>113</v>
      </c>
      <c r="BF56" s="2" t="s">
        <v>204</v>
      </c>
      <c r="BG56" s="2" t="s">
        <v>578</v>
      </c>
      <c r="BH56" s="2" t="s">
        <v>1142</v>
      </c>
      <c r="BI56" s="4" t="n">
        <v>340.26</v>
      </c>
      <c r="BJ56" s="2" t="n">
        <v>18387</v>
      </c>
      <c r="BK56" s="2" t="n">
        <v>293</v>
      </c>
      <c r="BL56" s="2" t="s">
        <v>113</v>
      </c>
      <c r="BM56" s="2" t="s">
        <v>118</v>
      </c>
      <c r="BN56" s="2" t="s">
        <v>304</v>
      </c>
      <c r="BO56" s="2" t="s">
        <v>258</v>
      </c>
      <c r="BP56" s="2" t="s">
        <v>328</v>
      </c>
      <c r="BQ56" s="2" t="n">
        <v>33</v>
      </c>
      <c r="BR56" s="2" t="n">
        <v>24</v>
      </c>
      <c r="BS56" s="2" t="s">
        <v>118</v>
      </c>
      <c r="BT56" s="2" t="n">
        <v>0</v>
      </c>
      <c r="BU56" s="2" t="n">
        <v>17.1</v>
      </c>
      <c r="BV56" s="2" t="n">
        <v>36</v>
      </c>
      <c r="BW56" s="3" t="n">
        <v>45972</v>
      </c>
      <c r="BX56" s="2" t="n">
        <v>4</v>
      </c>
      <c r="BY56" s="2" t="n">
        <v>31</v>
      </c>
      <c r="BZ56" s="2" t="s">
        <v>117</v>
      </c>
      <c r="CA56" s="2" t="n">
        <v>3</v>
      </c>
      <c r="CB56" s="2" t="n">
        <v>7</v>
      </c>
      <c r="CC56" s="2" t="n">
        <v>2</v>
      </c>
      <c r="CD56" s="2" t="n">
        <v>1.7</v>
      </c>
      <c r="CE56" s="4" t="n">
        <v>10115.82</v>
      </c>
      <c r="CF56" s="5" t="n">
        <v>53.5</v>
      </c>
      <c r="CG56" s="2" t="n">
        <v>364</v>
      </c>
      <c r="CH56" s="2" t="s">
        <v>144</v>
      </c>
      <c r="CI56" s="2" t="s">
        <v>117</v>
      </c>
      <c r="CJ56" s="2" t="n">
        <v>8</v>
      </c>
      <c r="CK56" s="2" t="n">
        <v>71</v>
      </c>
      <c r="CL56" s="4" t="n">
        <v>569.25</v>
      </c>
      <c r="CM56" s="2" t="n">
        <v>156</v>
      </c>
      <c r="CN56" s="2" t="s">
        <v>118</v>
      </c>
      <c r="CO56" s="4" t="n">
        <f aca="false">AH56*AI56</f>
        <v>525.2</v>
      </c>
      <c r="CP56" s="4" t="n">
        <f aca="false">CO56*AJ56</f>
        <v>0</v>
      </c>
      <c r="CQ56" s="4" t="n">
        <f aca="false">(CO56-CP56)*AK56</f>
        <v>42.016</v>
      </c>
      <c r="CR56" s="4" t="n">
        <f aca="false">CO56-CP56+CQ56+AL56</f>
        <v>577.096</v>
      </c>
      <c r="CS56" s="4" t="n">
        <f aca="false">CR56-(AP56*AH56)-AL56</f>
        <v>330.856</v>
      </c>
      <c r="CT56" s="5" t="n">
        <f aca="false">IFERROR(CS56/CR56,0)</f>
        <v>0.57331189264871</v>
      </c>
      <c r="CU56" s="6" t="n">
        <f aca="false">IFERROR(BK56/BJ56,0)</f>
        <v>0.0159351715886224</v>
      </c>
      <c r="CV56" s="2" t="n">
        <f aca="false">IF(AY56="N/A","N/A",AY56-AX56)</f>
        <v>-1</v>
      </c>
    </row>
    <row r="57" customFormat="false" ht="15" hidden="false" customHeight="false" outlineLevel="0" collapsed="false">
      <c r="A57" s="2" t="s">
        <v>1143</v>
      </c>
      <c r="B57" s="2" t="s">
        <v>306</v>
      </c>
      <c r="C57" s="2" t="s">
        <v>566</v>
      </c>
      <c r="D57" s="2" t="s">
        <v>1144</v>
      </c>
      <c r="E57" s="2" t="s">
        <v>1145</v>
      </c>
      <c r="F57" s="2" t="s">
        <v>150</v>
      </c>
      <c r="G57" s="2" t="n">
        <v>31</v>
      </c>
      <c r="H57" s="3" t="n">
        <v>34536</v>
      </c>
      <c r="I57" s="2" t="s">
        <v>335</v>
      </c>
      <c r="J57" s="2" t="s">
        <v>336</v>
      </c>
      <c r="K57" s="2" t="s">
        <v>336</v>
      </c>
      <c r="L57" s="2" t="s">
        <v>337</v>
      </c>
      <c r="M57" s="2" t="s">
        <v>1146</v>
      </c>
      <c r="N57" s="3" t="n">
        <v>43684</v>
      </c>
      <c r="O57" s="2" t="s">
        <v>155</v>
      </c>
      <c r="P57" s="2" t="n">
        <v>1808</v>
      </c>
      <c r="Q57" s="2" t="s">
        <v>1147</v>
      </c>
      <c r="R57" s="2" t="s">
        <v>113</v>
      </c>
      <c r="S57" s="2" t="s">
        <v>114</v>
      </c>
      <c r="T57" s="2" t="s">
        <v>191</v>
      </c>
      <c r="U57" s="2" t="s">
        <v>215</v>
      </c>
      <c r="V57" s="2" t="s">
        <v>118</v>
      </c>
      <c r="W57" s="2" t="s">
        <v>118</v>
      </c>
      <c r="X57" s="2" t="s">
        <v>1148</v>
      </c>
      <c r="Y57" s="3" t="n">
        <v>45923</v>
      </c>
      <c r="Z57" s="2" t="s">
        <v>1149</v>
      </c>
      <c r="AA57" s="2" t="s">
        <v>414</v>
      </c>
      <c r="AB57" s="2" t="s">
        <v>218</v>
      </c>
      <c r="AC57" s="2" t="s">
        <v>1150</v>
      </c>
      <c r="AD57" s="2" t="s">
        <v>624</v>
      </c>
      <c r="AE57" s="2" t="s">
        <v>625</v>
      </c>
      <c r="AF57" s="2" t="s">
        <v>626</v>
      </c>
      <c r="AG57" s="2" t="s">
        <v>1138</v>
      </c>
      <c r="AH57" s="2" t="n">
        <v>2</v>
      </c>
      <c r="AI57" s="4" t="n">
        <v>123.41</v>
      </c>
      <c r="AJ57" s="5" t="n">
        <v>0</v>
      </c>
      <c r="AK57" s="5" t="n">
        <v>0.08</v>
      </c>
      <c r="AL57" s="4" t="n">
        <v>17.8</v>
      </c>
      <c r="AM57" s="2" t="s">
        <v>128</v>
      </c>
      <c r="AN57" s="2" t="s">
        <v>129</v>
      </c>
      <c r="AO57" s="2" t="s">
        <v>158</v>
      </c>
      <c r="AP57" s="4" t="n">
        <v>55.53</v>
      </c>
      <c r="AQ57" s="2" t="s">
        <v>1151</v>
      </c>
      <c r="AR57" s="2" t="s">
        <v>1152</v>
      </c>
      <c r="AS57" s="2" t="s">
        <v>336</v>
      </c>
      <c r="AT57" s="2" t="s">
        <v>335</v>
      </c>
      <c r="AU57" s="2" t="s">
        <v>322</v>
      </c>
      <c r="AV57" s="2" t="s">
        <v>201</v>
      </c>
      <c r="AW57" s="2" t="s">
        <v>1153</v>
      </c>
      <c r="AX57" s="3" t="n">
        <v>45933</v>
      </c>
      <c r="AY57" s="2" t="s">
        <v>113</v>
      </c>
      <c r="AZ57" s="2" t="s">
        <v>136</v>
      </c>
      <c r="BA57" s="2" t="s">
        <v>118</v>
      </c>
      <c r="BB57" s="2" t="s">
        <v>113</v>
      </c>
      <c r="BC57" s="2" t="s">
        <v>113</v>
      </c>
      <c r="BD57" s="2" t="s">
        <v>118</v>
      </c>
      <c r="BE57" s="2" t="s">
        <v>113</v>
      </c>
      <c r="BF57" s="2" t="s">
        <v>440</v>
      </c>
      <c r="BG57" s="2" t="s">
        <v>441</v>
      </c>
      <c r="BH57" s="2" t="s">
        <v>1154</v>
      </c>
      <c r="BI57" s="4" t="n">
        <v>246.05</v>
      </c>
      <c r="BJ57" s="2" t="n">
        <v>2307</v>
      </c>
      <c r="BK57" s="2" t="n">
        <v>133</v>
      </c>
      <c r="BL57" s="2" t="s">
        <v>783</v>
      </c>
      <c r="BM57" s="2" t="s">
        <v>117</v>
      </c>
      <c r="BN57" s="2" t="s">
        <v>177</v>
      </c>
      <c r="BO57" s="2" t="s">
        <v>229</v>
      </c>
      <c r="BP57" s="2" t="s">
        <v>823</v>
      </c>
      <c r="BQ57" s="2" t="n">
        <v>13</v>
      </c>
      <c r="BR57" s="2" t="n">
        <v>9</v>
      </c>
      <c r="BS57" s="2" t="s">
        <v>118</v>
      </c>
      <c r="BT57" s="2" t="n">
        <v>6</v>
      </c>
      <c r="BU57" s="2" t="n">
        <v>8.6</v>
      </c>
      <c r="BV57" s="2" t="n">
        <v>57</v>
      </c>
      <c r="BW57" s="3" t="n">
        <v>46003</v>
      </c>
      <c r="BX57" s="2" t="n">
        <v>5</v>
      </c>
      <c r="BY57" s="2" t="n">
        <v>19</v>
      </c>
      <c r="BZ57" s="2" t="s">
        <v>118</v>
      </c>
      <c r="CA57" s="2" t="n">
        <v>-9</v>
      </c>
      <c r="CB57" s="2" t="n">
        <v>3</v>
      </c>
      <c r="CC57" s="2" t="n">
        <v>5</v>
      </c>
      <c r="CD57" s="2" t="n">
        <v>47.4</v>
      </c>
      <c r="CE57" s="4" t="n">
        <v>1545.67</v>
      </c>
      <c r="CF57" s="5" t="n">
        <v>62</v>
      </c>
      <c r="CG57" s="2" t="n">
        <v>498</v>
      </c>
      <c r="CH57" s="2" t="s">
        <v>283</v>
      </c>
      <c r="CI57" s="2" t="s">
        <v>118</v>
      </c>
      <c r="CJ57" s="2" t="n">
        <v>10</v>
      </c>
      <c r="CK57" s="2" t="n">
        <v>4</v>
      </c>
      <c r="CL57" s="4" t="n">
        <v>491.33</v>
      </c>
      <c r="CM57" s="2" t="n">
        <v>296</v>
      </c>
      <c r="CN57" s="2" t="s">
        <v>118</v>
      </c>
      <c r="CO57" s="4" t="n">
        <f aca="false">AH57*AI57</f>
        <v>246.82</v>
      </c>
      <c r="CP57" s="4" t="n">
        <f aca="false">CO57*AJ57</f>
        <v>0</v>
      </c>
      <c r="CQ57" s="4" t="n">
        <f aca="false">(CO57-CP57)*AK57</f>
        <v>19.7456</v>
      </c>
      <c r="CR57" s="4" t="n">
        <f aca="false">CO57-CP57+CQ57+AL57</f>
        <v>284.3656</v>
      </c>
      <c r="CS57" s="4" t="n">
        <f aca="false">CR57-(AP57*AH57)-AL57</f>
        <v>155.5056</v>
      </c>
      <c r="CT57" s="5" t="n">
        <f aca="false">IFERROR(CS57/CR57,0)</f>
        <v>0.546850955249158</v>
      </c>
      <c r="CU57" s="6" t="n">
        <f aca="false">IFERROR(BK57/BJ57,0)</f>
        <v>0.0576506285218899</v>
      </c>
      <c r="CV57" s="2" t="str">
        <f aca="false">IF(AY57="N/A","N/A",AY57-AX57)</f>
        <v>N/A</v>
      </c>
    </row>
    <row r="58" customFormat="false" ht="15" hidden="false" customHeight="false" outlineLevel="0" collapsed="false">
      <c r="A58" s="2" t="s">
        <v>1102</v>
      </c>
      <c r="B58" s="2" t="s">
        <v>1155</v>
      </c>
      <c r="C58" s="2" t="s">
        <v>1156</v>
      </c>
      <c r="D58" s="2" t="s">
        <v>1157</v>
      </c>
      <c r="E58" s="2" t="s">
        <v>1158</v>
      </c>
      <c r="F58" s="2" t="s">
        <v>105</v>
      </c>
      <c r="G58" s="2" t="n">
        <v>53</v>
      </c>
      <c r="H58" s="3" t="n">
        <v>26437</v>
      </c>
      <c r="I58" s="2" t="s">
        <v>335</v>
      </c>
      <c r="J58" s="2" t="s">
        <v>508</v>
      </c>
      <c r="K58" s="2" t="s">
        <v>508</v>
      </c>
      <c r="L58" s="2" t="s">
        <v>509</v>
      </c>
      <c r="M58" s="2" t="s">
        <v>1159</v>
      </c>
      <c r="N58" s="3" t="n">
        <v>45034</v>
      </c>
      <c r="O58" s="2" t="s">
        <v>311</v>
      </c>
      <c r="P58" s="2" t="n">
        <v>1217</v>
      </c>
      <c r="Q58" s="2" t="s">
        <v>1160</v>
      </c>
      <c r="R58" s="2" t="s">
        <v>113</v>
      </c>
      <c r="S58" s="2" t="s">
        <v>114</v>
      </c>
      <c r="T58" s="2" t="s">
        <v>157</v>
      </c>
      <c r="U58" s="2" t="s">
        <v>116</v>
      </c>
      <c r="V58" s="2" t="s">
        <v>117</v>
      </c>
      <c r="W58" s="2" t="s">
        <v>117</v>
      </c>
      <c r="X58" s="2" t="s">
        <v>1161</v>
      </c>
      <c r="Y58" s="3" t="n">
        <v>45666</v>
      </c>
      <c r="Z58" s="2" t="s">
        <v>1162</v>
      </c>
      <c r="AA58" s="2" t="s">
        <v>161</v>
      </c>
      <c r="AB58" s="2" t="s">
        <v>122</v>
      </c>
      <c r="AC58" s="2" t="s">
        <v>1163</v>
      </c>
      <c r="AD58" s="2" t="s">
        <v>896</v>
      </c>
      <c r="AE58" s="2" t="s">
        <v>295</v>
      </c>
      <c r="AF58" s="2" t="s">
        <v>296</v>
      </c>
      <c r="AG58" s="2" t="s">
        <v>1164</v>
      </c>
      <c r="AH58" s="2" t="n">
        <v>2</v>
      </c>
      <c r="AI58" s="4" t="n">
        <v>44.5</v>
      </c>
      <c r="AJ58" s="5" t="n">
        <v>0</v>
      </c>
      <c r="AK58" s="5" t="n">
        <v>0.08</v>
      </c>
      <c r="AL58" s="4" t="n">
        <v>17.59</v>
      </c>
      <c r="AM58" s="2" t="s">
        <v>247</v>
      </c>
      <c r="AN58" s="2" t="s">
        <v>129</v>
      </c>
      <c r="AO58" s="2" t="s">
        <v>215</v>
      </c>
      <c r="AP58" s="4" t="n">
        <v>17.8</v>
      </c>
      <c r="AQ58" s="2" t="s">
        <v>1165</v>
      </c>
      <c r="AR58" s="2" t="s">
        <v>1166</v>
      </c>
      <c r="AS58" s="2" t="s">
        <v>508</v>
      </c>
      <c r="AT58" s="2" t="s">
        <v>335</v>
      </c>
      <c r="AU58" s="2" t="s">
        <v>172</v>
      </c>
      <c r="AV58" s="2" t="s">
        <v>173</v>
      </c>
      <c r="AW58" s="2" t="s">
        <v>1167</v>
      </c>
      <c r="AX58" s="3" t="n">
        <v>45674</v>
      </c>
      <c r="AY58" s="3" t="n">
        <v>45677</v>
      </c>
      <c r="AZ58" s="2" t="s">
        <v>175</v>
      </c>
      <c r="BA58" s="2" t="s">
        <v>118</v>
      </c>
      <c r="BB58" s="2" t="s">
        <v>113</v>
      </c>
      <c r="BC58" s="2" t="s">
        <v>113</v>
      </c>
      <c r="BD58" s="2" t="s">
        <v>118</v>
      </c>
      <c r="BE58" s="2" t="s">
        <v>113</v>
      </c>
      <c r="BF58" s="2" t="s">
        <v>226</v>
      </c>
      <c r="BG58" s="2" t="s">
        <v>302</v>
      </c>
      <c r="BH58" s="2" t="s">
        <v>1168</v>
      </c>
      <c r="BI58" s="4" t="n">
        <v>185.82</v>
      </c>
      <c r="BJ58" s="2" t="n">
        <v>5534</v>
      </c>
      <c r="BK58" s="2" t="n">
        <v>780</v>
      </c>
      <c r="BL58" s="2" t="s">
        <v>113</v>
      </c>
      <c r="BM58" s="2" t="s">
        <v>118</v>
      </c>
      <c r="BN58" s="2" t="s">
        <v>304</v>
      </c>
      <c r="BO58" s="2" t="s">
        <v>207</v>
      </c>
      <c r="BP58" s="2" t="s">
        <v>143</v>
      </c>
      <c r="BQ58" s="2" t="n">
        <v>23.5</v>
      </c>
      <c r="BR58" s="2" t="n">
        <v>25</v>
      </c>
      <c r="BS58" s="2" t="s">
        <v>118</v>
      </c>
      <c r="BT58" s="2" t="n">
        <v>7</v>
      </c>
      <c r="BU58" s="2" t="n">
        <v>16</v>
      </c>
      <c r="BV58" s="2" t="n">
        <v>23</v>
      </c>
      <c r="BW58" s="3" t="n">
        <v>45842</v>
      </c>
      <c r="BX58" s="2" t="n">
        <v>5</v>
      </c>
      <c r="BY58" s="2" t="n">
        <v>124</v>
      </c>
      <c r="BZ58" s="2" t="s">
        <v>118</v>
      </c>
      <c r="CA58" s="2" t="n">
        <v>44</v>
      </c>
      <c r="CB58" s="2" t="n">
        <v>3</v>
      </c>
      <c r="CC58" s="2" t="n">
        <v>5</v>
      </c>
      <c r="CD58" s="2" t="n">
        <v>52.8</v>
      </c>
      <c r="CE58" s="4" t="n">
        <v>14090.67</v>
      </c>
      <c r="CF58" s="5" t="n">
        <v>4</v>
      </c>
      <c r="CG58" s="2" t="n">
        <v>799</v>
      </c>
      <c r="CH58" s="2" t="s">
        <v>144</v>
      </c>
      <c r="CI58" s="2" t="s">
        <v>117</v>
      </c>
      <c r="CJ58" s="2" t="n">
        <v>2</v>
      </c>
      <c r="CK58" s="2" t="n">
        <v>57</v>
      </c>
      <c r="CL58" s="4" t="n">
        <v>116.05</v>
      </c>
      <c r="CM58" s="2" t="n">
        <v>39</v>
      </c>
      <c r="CN58" s="2" t="s">
        <v>118</v>
      </c>
      <c r="CO58" s="4" t="n">
        <f aca="false">AH58*AI58</f>
        <v>89</v>
      </c>
      <c r="CP58" s="4" t="n">
        <f aca="false">CO58*AJ58</f>
        <v>0</v>
      </c>
      <c r="CQ58" s="4" t="n">
        <f aca="false">(CO58-CP58)*AK58</f>
        <v>7.12</v>
      </c>
      <c r="CR58" s="4" t="n">
        <f aca="false">CO58-CP58+CQ58+AL58</f>
        <v>113.71</v>
      </c>
      <c r="CS58" s="4" t="n">
        <f aca="false">CR58-(AP58*AH58)-AL58</f>
        <v>60.52</v>
      </c>
      <c r="CT58" s="5" t="n">
        <f aca="false">IFERROR(CS58/CR58,0)</f>
        <v>0.532231114237974</v>
      </c>
      <c r="CU58" s="6" t="n">
        <f aca="false">IFERROR(BK58/BJ58,0)</f>
        <v>0.140946873870618</v>
      </c>
      <c r="CV58" s="2" t="n">
        <f aca="false">IF(AY58="N/A","N/A",AY58-AX58)</f>
        <v>3</v>
      </c>
    </row>
    <row r="59" customFormat="false" ht="15" hidden="false" customHeight="false" outlineLevel="0" collapsed="false">
      <c r="A59" s="2" t="s">
        <v>1169</v>
      </c>
      <c r="B59" s="2" t="s">
        <v>504</v>
      </c>
      <c r="C59" s="2" t="s">
        <v>1156</v>
      </c>
      <c r="D59" s="2" t="s">
        <v>1170</v>
      </c>
      <c r="E59" s="2" t="s">
        <v>1171</v>
      </c>
      <c r="F59" s="2" t="s">
        <v>105</v>
      </c>
      <c r="G59" s="2" t="n">
        <v>29</v>
      </c>
      <c r="H59" s="3" t="n">
        <v>35136</v>
      </c>
      <c r="I59" s="2" t="s">
        <v>235</v>
      </c>
      <c r="J59" s="2" t="s">
        <v>236</v>
      </c>
      <c r="K59" s="2" t="s">
        <v>236</v>
      </c>
      <c r="L59" s="2" t="s">
        <v>237</v>
      </c>
      <c r="M59" s="2" t="s">
        <v>1172</v>
      </c>
      <c r="N59" s="3" t="n">
        <v>43585</v>
      </c>
      <c r="O59" s="2" t="s">
        <v>311</v>
      </c>
      <c r="P59" s="2" t="n">
        <v>3396</v>
      </c>
      <c r="Q59" s="2" t="s">
        <v>1173</v>
      </c>
      <c r="R59" s="2" t="s">
        <v>113</v>
      </c>
      <c r="S59" s="2" t="s">
        <v>1062</v>
      </c>
      <c r="T59" s="2" t="s">
        <v>551</v>
      </c>
      <c r="U59" s="2" t="s">
        <v>271</v>
      </c>
      <c r="V59" s="2" t="s">
        <v>117</v>
      </c>
      <c r="W59" s="2" t="s">
        <v>117</v>
      </c>
      <c r="X59" s="2" t="s">
        <v>1174</v>
      </c>
      <c r="Y59" s="3" t="n">
        <v>45630</v>
      </c>
      <c r="Z59" s="2" t="s">
        <v>1175</v>
      </c>
      <c r="AA59" s="2" t="s">
        <v>161</v>
      </c>
      <c r="AB59" s="2" t="s">
        <v>218</v>
      </c>
      <c r="AC59" s="2" t="s">
        <v>1176</v>
      </c>
      <c r="AD59" s="2" t="s">
        <v>244</v>
      </c>
      <c r="AE59" s="2" t="s">
        <v>165</v>
      </c>
      <c r="AF59" s="2" t="s">
        <v>974</v>
      </c>
      <c r="AG59" s="2" t="s">
        <v>991</v>
      </c>
      <c r="AH59" s="2" t="n">
        <v>4</v>
      </c>
      <c r="AI59" s="4" t="n">
        <v>114.82</v>
      </c>
      <c r="AJ59" s="5" t="n">
        <v>0</v>
      </c>
      <c r="AK59" s="5" t="n">
        <v>0.08</v>
      </c>
      <c r="AL59" s="4" t="n">
        <v>6.61</v>
      </c>
      <c r="AM59" s="2" t="s">
        <v>128</v>
      </c>
      <c r="AN59" s="2" t="s">
        <v>129</v>
      </c>
      <c r="AO59" s="2" t="s">
        <v>116</v>
      </c>
      <c r="AP59" s="4" t="n">
        <v>57.41</v>
      </c>
      <c r="AQ59" s="2" t="s">
        <v>1177</v>
      </c>
      <c r="AR59" s="2" t="s">
        <v>1178</v>
      </c>
      <c r="AS59" s="2" t="s">
        <v>236</v>
      </c>
      <c r="AT59" s="2" t="s">
        <v>235</v>
      </c>
      <c r="AU59" s="2" t="s">
        <v>133</v>
      </c>
      <c r="AV59" s="2" t="s">
        <v>134</v>
      </c>
      <c r="AW59" s="2" t="s">
        <v>1179</v>
      </c>
      <c r="AX59" s="3" t="n">
        <v>45638</v>
      </c>
      <c r="AY59" s="3" t="n">
        <v>45636</v>
      </c>
      <c r="AZ59" s="2" t="s">
        <v>136</v>
      </c>
      <c r="BA59" s="2" t="s">
        <v>118</v>
      </c>
      <c r="BB59" s="2" t="s">
        <v>113</v>
      </c>
      <c r="BC59" s="2" t="s">
        <v>113</v>
      </c>
      <c r="BD59" s="2" t="s">
        <v>118</v>
      </c>
      <c r="BE59" s="2" t="s">
        <v>113</v>
      </c>
      <c r="BF59" s="2" t="s">
        <v>226</v>
      </c>
      <c r="BG59" s="2" t="s">
        <v>227</v>
      </c>
      <c r="BH59" s="2" t="s">
        <v>1180</v>
      </c>
      <c r="BI59" s="4" t="n">
        <v>13.2</v>
      </c>
      <c r="BJ59" s="2" t="n">
        <v>19510</v>
      </c>
      <c r="BK59" s="2" t="n">
        <v>664</v>
      </c>
      <c r="BL59" s="2" t="s">
        <v>113</v>
      </c>
      <c r="BM59" s="2" t="s">
        <v>118</v>
      </c>
      <c r="BN59" s="2" t="s">
        <v>141</v>
      </c>
      <c r="BO59" s="2" t="s">
        <v>229</v>
      </c>
      <c r="BP59" s="2" t="s">
        <v>143</v>
      </c>
      <c r="BQ59" s="2" t="n">
        <v>31</v>
      </c>
      <c r="BR59" s="2" t="n">
        <v>10</v>
      </c>
      <c r="BS59" s="2" t="s">
        <v>118</v>
      </c>
      <c r="BT59" s="2" t="n">
        <v>5</v>
      </c>
      <c r="BU59" s="2" t="n">
        <v>14.8</v>
      </c>
      <c r="BV59" s="2" t="n">
        <v>40</v>
      </c>
      <c r="BW59" s="3" t="n">
        <v>45937</v>
      </c>
      <c r="BX59" s="2" t="n">
        <v>5</v>
      </c>
      <c r="BY59" s="2" t="n">
        <v>9</v>
      </c>
      <c r="BZ59" s="2" t="s">
        <v>118</v>
      </c>
      <c r="CA59" s="2" t="n">
        <v>-63</v>
      </c>
      <c r="CB59" s="2" t="n">
        <v>1</v>
      </c>
      <c r="CC59" s="2" t="n">
        <v>1</v>
      </c>
      <c r="CD59" s="2" t="n">
        <v>19</v>
      </c>
      <c r="CE59" s="4" t="n">
        <v>2741.56</v>
      </c>
      <c r="CF59" s="5" t="n">
        <v>95.8</v>
      </c>
      <c r="CG59" s="2" t="n">
        <v>319</v>
      </c>
      <c r="CH59" s="2" t="s">
        <v>144</v>
      </c>
      <c r="CI59" s="2" t="s">
        <v>117</v>
      </c>
      <c r="CJ59" s="2" t="n">
        <v>1</v>
      </c>
      <c r="CK59" s="2" t="n">
        <v>12</v>
      </c>
      <c r="CL59" s="4" t="n">
        <v>299.7</v>
      </c>
      <c r="CM59" s="2" t="n">
        <v>66</v>
      </c>
      <c r="CN59" s="2" t="s">
        <v>118</v>
      </c>
      <c r="CO59" s="4" t="n">
        <f aca="false">AH59*AI59</f>
        <v>459.28</v>
      </c>
      <c r="CP59" s="4" t="n">
        <f aca="false">CO59*AJ59</f>
        <v>0</v>
      </c>
      <c r="CQ59" s="4" t="n">
        <f aca="false">(CO59-CP59)*AK59</f>
        <v>36.7424</v>
      </c>
      <c r="CR59" s="4" t="n">
        <f aca="false">CO59-CP59+CQ59+AL59</f>
        <v>502.6324</v>
      </c>
      <c r="CS59" s="4" t="n">
        <f aca="false">CR59-(AP59*AH59)-AL59</f>
        <v>266.3824</v>
      </c>
      <c r="CT59" s="5" t="n">
        <f aca="false">IFERROR(CS59/CR59,0)</f>
        <v>0.529974589779728</v>
      </c>
      <c r="CU59" s="6" t="n">
        <f aca="false">IFERROR(BK59/BJ59,0)</f>
        <v>0.0340338288057406</v>
      </c>
      <c r="CV59" s="2" t="n">
        <f aca="false">IF(AY59="N/A","N/A",AY59-AX59)</f>
        <v>-2</v>
      </c>
    </row>
    <row r="60" customFormat="false" ht="15" hidden="false" customHeight="false" outlineLevel="0" collapsed="false">
      <c r="A60" s="2" t="s">
        <v>1181</v>
      </c>
      <c r="B60" s="2" t="s">
        <v>1182</v>
      </c>
      <c r="C60" s="2" t="s">
        <v>1183</v>
      </c>
      <c r="D60" s="2" t="s">
        <v>1184</v>
      </c>
      <c r="E60" s="2" t="s">
        <v>1185</v>
      </c>
      <c r="F60" s="2" t="s">
        <v>184</v>
      </c>
      <c r="G60" s="2" t="n">
        <v>59</v>
      </c>
      <c r="H60" s="3" t="n">
        <v>24305</v>
      </c>
      <c r="I60" s="2" t="s">
        <v>737</v>
      </c>
      <c r="J60" s="2" t="s">
        <v>738</v>
      </c>
      <c r="K60" s="2" t="s">
        <v>739</v>
      </c>
      <c r="L60" s="2" t="s">
        <v>740</v>
      </c>
      <c r="M60" s="2" t="s">
        <v>1186</v>
      </c>
      <c r="N60" s="3" t="n">
        <v>44618</v>
      </c>
      <c r="O60" s="2" t="s">
        <v>111</v>
      </c>
      <c r="P60" s="2" t="n">
        <v>4340</v>
      </c>
      <c r="Q60" s="2" t="s">
        <v>1187</v>
      </c>
      <c r="R60" s="2" t="s">
        <v>1188</v>
      </c>
      <c r="S60" s="2" t="s">
        <v>114</v>
      </c>
      <c r="T60" s="2" t="s">
        <v>157</v>
      </c>
      <c r="U60" s="2" t="s">
        <v>222</v>
      </c>
      <c r="V60" s="2" t="s">
        <v>117</v>
      </c>
      <c r="W60" s="2" t="s">
        <v>118</v>
      </c>
      <c r="X60" s="2" t="s">
        <v>1189</v>
      </c>
      <c r="Y60" s="3" t="n">
        <v>45731</v>
      </c>
      <c r="Z60" s="2" t="s">
        <v>1190</v>
      </c>
      <c r="AA60" s="2" t="s">
        <v>161</v>
      </c>
      <c r="AB60" s="2" t="s">
        <v>342</v>
      </c>
      <c r="AC60" s="2" t="s">
        <v>1191</v>
      </c>
      <c r="AD60" s="2" t="s">
        <v>515</v>
      </c>
      <c r="AE60" s="2" t="s">
        <v>395</v>
      </c>
      <c r="AF60" s="2" t="s">
        <v>555</v>
      </c>
      <c r="AG60" s="2" t="s">
        <v>556</v>
      </c>
      <c r="AH60" s="2" t="n">
        <v>5</v>
      </c>
      <c r="AI60" s="4" t="n">
        <v>178.97</v>
      </c>
      <c r="AJ60" s="5" t="n">
        <v>0</v>
      </c>
      <c r="AK60" s="5" t="n">
        <v>0.08</v>
      </c>
      <c r="AL60" s="4" t="n">
        <v>9.26</v>
      </c>
      <c r="AM60" s="2" t="s">
        <v>247</v>
      </c>
      <c r="AN60" s="2" t="s">
        <v>129</v>
      </c>
      <c r="AO60" s="2" t="s">
        <v>215</v>
      </c>
      <c r="AP60" s="4" t="n">
        <v>80.54</v>
      </c>
      <c r="AQ60" s="2" t="s">
        <v>1192</v>
      </c>
      <c r="AR60" s="2" t="s">
        <v>1193</v>
      </c>
      <c r="AS60" s="2" t="s">
        <v>739</v>
      </c>
      <c r="AT60" s="2" t="s">
        <v>737</v>
      </c>
      <c r="AU60" s="2" t="s">
        <v>350</v>
      </c>
      <c r="AV60" s="2" t="s">
        <v>278</v>
      </c>
      <c r="AW60" s="2" t="s">
        <v>1194</v>
      </c>
      <c r="AX60" s="3" t="n">
        <v>45739</v>
      </c>
      <c r="AY60" s="3" t="n">
        <v>45739</v>
      </c>
      <c r="AZ60" s="2" t="s">
        <v>301</v>
      </c>
      <c r="BA60" s="2" t="s">
        <v>118</v>
      </c>
      <c r="BB60" s="2" t="s">
        <v>113</v>
      </c>
      <c r="BC60" s="2" t="s">
        <v>113</v>
      </c>
      <c r="BD60" s="2" t="s">
        <v>118</v>
      </c>
      <c r="BE60" s="2" t="s">
        <v>113</v>
      </c>
      <c r="BF60" s="2" t="s">
        <v>280</v>
      </c>
      <c r="BG60" s="2" t="s">
        <v>679</v>
      </c>
      <c r="BH60" s="2" t="s">
        <v>1195</v>
      </c>
      <c r="BI60" s="4" t="n">
        <v>392.64</v>
      </c>
      <c r="BJ60" s="2" t="n">
        <v>2846</v>
      </c>
      <c r="BK60" s="2" t="n">
        <v>150</v>
      </c>
      <c r="BL60" s="2" t="s">
        <v>113</v>
      </c>
      <c r="BM60" s="2" t="s">
        <v>117</v>
      </c>
      <c r="BN60" s="2" t="s">
        <v>304</v>
      </c>
      <c r="BO60" s="2" t="s">
        <v>207</v>
      </c>
      <c r="BP60" s="2" t="s">
        <v>143</v>
      </c>
      <c r="BQ60" s="2" t="n">
        <v>23.1</v>
      </c>
      <c r="BR60" s="2" t="n">
        <v>22</v>
      </c>
      <c r="BS60" s="2" t="s">
        <v>118</v>
      </c>
      <c r="BT60" s="2" t="n">
        <v>19</v>
      </c>
      <c r="BU60" s="2" t="n">
        <v>21.2</v>
      </c>
      <c r="BV60" s="2" t="n">
        <v>46</v>
      </c>
      <c r="BW60" s="3" t="n">
        <v>45757</v>
      </c>
      <c r="BX60" s="2" t="n">
        <v>5</v>
      </c>
      <c r="BY60" s="2" t="n">
        <v>41</v>
      </c>
      <c r="BZ60" s="2" t="s">
        <v>117</v>
      </c>
      <c r="CA60" s="2" t="n">
        <v>-99</v>
      </c>
      <c r="CB60" s="2" t="n">
        <v>10</v>
      </c>
      <c r="CC60" s="2" t="n">
        <v>4</v>
      </c>
      <c r="CD60" s="2" t="n">
        <v>8.9</v>
      </c>
      <c r="CE60" s="4" t="n">
        <v>157.55</v>
      </c>
      <c r="CF60" s="5" t="n">
        <v>65.5</v>
      </c>
      <c r="CG60" s="2" t="n">
        <v>623</v>
      </c>
      <c r="CH60" s="2" t="s">
        <v>144</v>
      </c>
      <c r="CI60" s="2" t="s">
        <v>117</v>
      </c>
      <c r="CJ60" s="2" t="n">
        <v>1</v>
      </c>
      <c r="CK60" s="2" t="n">
        <v>19</v>
      </c>
      <c r="CL60" s="4" t="n">
        <v>293.57</v>
      </c>
      <c r="CM60" s="2" t="n">
        <v>307</v>
      </c>
      <c r="CN60" s="2" t="s">
        <v>118</v>
      </c>
      <c r="CO60" s="4" t="n">
        <f aca="false">AH60*AI60</f>
        <v>894.85</v>
      </c>
      <c r="CP60" s="4" t="n">
        <f aca="false">CO60*AJ60</f>
        <v>0</v>
      </c>
      <c r="CQ60" s="4" t="n">
        <f aca="false">(CO60-CP60)*AK60</f>
        <v>71.588</v>
      </c>
      <c r="CR60" s="4" t="n">
        <f aca="false">CO60-CP60+CQ60+AL60</f>
        <v>975.698</v>
      </c>
      <c r="CS60" s="4" t="n">
        <f aca="false">CR60-(AP60*AH60)-AL60</f>
        <v>563.738</v>
      </c>
      <c r="CT60" s="5" t="n">
        <f aca="false">IFERROR(CS60/CR60,0)</f>
        <v>0.577779189872276</v>
      </c>
      <c r="CU60" s="6" t="n">
        <f aca="false">IFERROR(BK60/BJ60,0)</f>
        <v>0.0527055516514406</v>
      </c>
      <c r="CV60" s="2" t="n">
        <f aca="false">IF(AY60="N/A","N/A",AY60-AX60)</f>
        <v>0</v>
      </c>
    </row>
    <row r="61" customFormat="false" ht="15" hidden="false" customHeight="false" outlineLevel="0" collapsed="false">
      <c r="A61" s="2" t="s">
        <v>1196</v>
      </c>
      <c r="B61" s="2" t="s">
        <v>1197</v>
      </c>
      <c r="C61" s="2" t="s">
        <v>1198</v>
      </c>
      <c r="D61" s="2" t="s">
        <v>1199</v>
      </c>
      <c r="E61" s="2" t="s">
        <v>1200</v>
      </c>
      <c r="F61" s="2" t="s">
        <v>105</v>
      </c>
      <c r="G61" s="2" t="n">
        <v>41</v>
      </c>
      <c r="H61" s="3" t="n">
        <v>30732</v>
      </c>
      <c r="I61" s="2" t="s">
        <v>265</v>
      </c>
      <c r="J61" s="2" t="s">
        <v>448</v>
      </c>
      <c r="K61" s="2" t="s">
        <v>449</v>
      </c>
      <c r="L61" s="2" t="s">
        <v>450</v>
      </c>
      <c r="M61" s="2" t="s">
        <v>1201</v>
      </c>
      <c r="N61" s="3" t="n">
        <v>44675</v>
      </c>
      <c r="O61" s="2" t="s">
        <v>859</v>
      </c>
      <c r="P61" s="2" t="n">
        <v>3282</v>
      </c>
      <c r="Q61" s="2" t="s">
        <v>1202</v>
      </c>
      <c r="R61" s="2" t="s">
        <v>113</v>
      </c>
      <c r="S61" s="2" t="s">
        <v>114</v>
      </c>
      <c r="T61" s="2" t="s">
        <v>722</v>
      </c>
      <c r="U61" s="2" t="s">
        <v>130</v>
      </c>
      <c r="V61" s="2" t="s">
        <v>118</v>
      </c>
      <c r="W61" s="2" t="s">
        <v>118</v>
      </c>
      <c r="X61" s="2" t="s">
        <v>1203</v>
      </c>
      <c r="Y61" s="3" t="n">
        <v>45920</v>
      </c>
      <c r="Z61" s="2" t="s">
        <v>1204</v>
      </c>
      <c r="AA61" s="2" t="s">
        <v>161</v>
      </c>
      <c r="AB61" s="2" t="s">
        <v>122</v>
      </c>
      <c r="AC61" s="2" t="s">
        <v>1205</v>
      </c>
      <c r="AD61" s="2" t="s">
        <v>957</v>
      </c>
      <c r="AE61" s="2" t="s">
        <v>165</v>
      </c>
      <c r="AF61" s="2" t="s">
        <v>990</v>
      </c>
      <c r="AG61" s="2" t="s">
        <v>975</v>
      </c>
      <c r="AH61" s="2" t="n">
        <v>1</v>
      </c>
      <c r="AI61" s="4" t="n">
        <v>473.51</v>
      </c>
      <c r="AJ61" s="5" t="n">
        <v>0</v>
      </c>
      <c r="AK61" s="5" t="n">
        <v>0.08</v>
      </c>
      <c r="AL61" s="4" t="n">
        <v>24.08</v>
      </c>
      <c r="AM61" s="2" t="s">
        <v>419</v>
      </c>
      <c r="AN61" s="2" t="s">
        <v>129</v>
      </c>
      <c r="AO61" s="2" t="s">
        <v>271</v>
      </c>
      <c r="AP61" s="4" t="n">
        <v>236.75</v>
      </c>
      <c r="AQ61" s="2" t="s">
        <v>1206</v>
      </c>
      <c r="AR61" s="2" t="s">
        <v>1207</v>
      </c>
      <c r="AS61" s="2" t="s">
        <v>449</v>
      </c>
      <c r="AT61" s="2" t="s">
        <v>265</v>
      </c>
      <c r="AU61" s="2" t="s">
        <v>172</v>
      </c>
      <c r="AV61" s="2" t="s">
        <v>351</v>
      </c>
      <c r="AW61" s="2" t="s">
        <v>1208</v>
      </c>
      <c r="AX61" s="3" t="n">
        <v>45929</v>
      </c>
      <c r="AY61" s="3" t="n">
        <v>45934</v>
      </c>
      <c r="AZ61" s="2" t="s">
        <v>175</v>
      </c>
      <c r="BA61" s="2" t="s">
        <v>118</v>
      </c>
      <c r="BB61" s="2" t="s">
        <v>113</v>
      </c>
      <c r="BC61" s="2" t="s">
        <v>113</v>
      </c>
      <c r="BD61" s="2" t="s">
        <v>118</v>
      </c>
      <c r="BE61" s="2" t="s">
        <v>113</v>
      </c>
      <c r="BF61" s="2" t="s">
        <v>204</v>
      </c>
      <c r="BG61" s="2" t="s">
        <v>1209</v>
      </c>
      <c r="BH61" s="2" t="s">
        <v>1210</v>
      </c>
      <c r="BI61" s="4" t="n">
        <v>57.7</v>
      </c>
      <c r="BJ61" s="2" t="n">
        <v>17078</v>
      </c>
      <c r="BK61" s="2" t="n">
        <v>1176</v>
      </c>
      <c r="BL61" s="2" t="s">
        <v>769</v>
      </c>
      <c r="BM61" s="2" t="s">
        <v>117</v>
      </c>
      <c r="BN61" s="2" t="s">
        <v>177</v>
      </c>
      <c r="BO61" s="2" t="s">
        <v>229</v>
      </c>
      <c r="BP61" s="2" t="s">
        <v>259</v>
      </c>
      <c r="BQ61" s="2" t="n">
        <v>5.7</v>
      </c>
      <c r="BR61" s="2" t="n">
        <v>33</v>
      </c>
      <c r="BS61" s="2" t="s">
        <v>118</v>
      </c>
      <c r="BT61" s="2" t="n">
        <v>17</v>
      </c>
      <c r="BU61" s="2" t="n">
        <v>24.6</v>
      </c>
      <c r="BV61" s="2" t="n">
        <v>37</v>
      </c>
      <c r="BW61" s="3" t="n">
        <v>45952</v>
      </c>
      <c r="BX61" s="2" t="n">
        <v>4</v>
      </c>
      <c r="BY61" s="2" t="n">
        <v>113</v>
      </c>
      <c r="BZ61" s="2" t="s">
        <v>118</v>
      </c>
      <c r="CA61" s="2" t="n">
        <v>-41</v>
      </c>
      <c r="CB61" s="2" t="n">
        <v>10</v>
      </c>
      <c r="CC61" s="2" t="n">
        <v>1</v>
      </c>
      <c r="CD61" s="2" t="n">
        <v>48.7</v>
      </c>
      <c r="CE61" s="4" t="n">
        <v>5428.11</v>
      </c>
      <c r="CF61" s="5" t="n">
        <v>65.5</v>
      </c>
      <c r="CG61" s="2" t="n">
        <v>461</v>
      </c>
      <c r="CH61" s="2" t="s">
        <v>144</v>
      </c>
      <c r="CI61" s="2" t="s">
        <v>117</v>
      </c>
      <c r="CJ61" s="2" t="n">
        <v>3</v>
      </c>
      <c r="CK61" s="2" t="n">
        <v>44</v>
      </c>
      <c r="CL61" s="4" t="n">
        <v>577.52</v>
      </c>
      <c r="CM61" s="2" t="n">
        <v>234</v>
      </c>
      <c r="CN61" s="2" t="s">
        <v>118</v>
      </c>
      <c r="CO61" s="4" t="n">
        <f aca="false">AH61*AI61</f>
        <v>473.51</v>
      </c>
      <c r="CP61" s="4" t="n">
        <f aca="false">CO61*AJ61</f>
        <v>0</v>
      </c>
      <c r="CQ61" s="4" t="n">
        <f aca="false">(CO61-CP61)*AK61</f>
        <v>37.8808</v>
      </c>
      <c r="CR61" s="4" t="n">
        <f aca="false">CO61-CP61+CQ61+AL61</f>
        <v>535.4708</v>
      </c>
      <c r="CS61" s="4" t="n">
        <f aca="false">CR61-(AP61*AH61)-AL61</f>
        <v>274.6408</v>
      </c>
      <c r="CT61" s="5" t="n">
        <f aca="false">IFERROR(CS61/CR61,0)</f>
        <v>0.51289594129129</v>
      </c>
      <c r="CU61" s="6" t="n">
        <f aca="false">IFERROR(BK61/BJ61,0)</f>
        <v>0.0688605223094039</v>
      </c>
      <c r="CV61" s="2" t="n">
        <f aca="false">IF(AY61="N/A","N/A",AY61-AX61)</f>
        <v>5</v>
      </c>
    </row>
    <row r="62" customFormat="false" ht="15" hidden="false" customHeight="false" outlineLevel="0" collapsed="false">
      <c r="A62" s="2" t="s">
        <v>1211</v>
      </c>
      <c r="B62" s="2" t="s">
        <v>1155</v>
      </c>
      <c r="C62" s="2" t="s">
        <v>1212</v>
      </c>
      <c r="D62" s="2" t="s">
        <v>1213</v>
      </c>
      <c r="E62" s="2" t="s">
        <v>1214</v>
      </c>
      <c r="F62" s="2" t="s">
        <v>150</v>
      </c>
      <c r="G62" s="2" t="n">
        <v>25</v>
      </c>
      <c r="H62" s="3" t="n">
        <v>36649</v>
      </c>
      <c r="I62" s="2" t="s">
        <v>526</v>
      </c>
      <c r="J62" s="2" t="s">
        <v>527</v>
      </c>
      <c r="K62" s="2" t="s">
        <v>527</v>
      </c>
      <c r="L62" s="2" t="s">
        <v>528</v>
      </c>
      <c r="M62" s="2" t="s">
        <v>1215</v>
      </c>
      <c r="N62" s="3" t="n">
        <v>44003</v>
      </c>
      <c r="O62" s="2" t="s">
        <v>311</v>
      </c>
      <c r="P62" s="2" t="n">
        <v>1883</v>
      </c>
      <c r="Q62" s="2" t="s">
        <v>1216</v>
      </c>
      <c r="R62" s="2" t="s">
        <v>648</v>
      </c>
      <c r="S62" s="2" t="s">
        <v>114</v>
      </c>
      <c r="T62" s="2" t="s">
        <v>191</v>
      </c>
      <c r="U62" s="2" t="s">
        <v>215</v>
      </c>
      <c r="V62" s="2" t="s">
        <v>117</v>
      </c>
      <c r="W62" s="2" t="s">
        <v>117</v>
      </c>
      <c r="X62" s="2" t="s">
        <v>1217</v>
      </c>
      <c r="Y62" s="3" t="n">
        <v>45615</v>
      </c>
      <c r="Z62" s="2" t="s">
        <v>1218</v>
      </c>
      <c r="AA62" s="2" t="s">
        <v>161</v>
      </c>
      <c r="AB62" s="2" t="s">
        <v>342</v>
      </c>
      <c r="AC62" s="2" t="s">
        <v>1219</v>
      </c>
      <c r="AD62" s="2" t="s">
        <v>675</v>
      </c>
      <c r="AE62" s="2" t="s">
        <v>295</v>
      </c>
      <c r="AF62" s="2" t="s">
        <v>1220</v>
      </c>
      <c r="AG62" s="2" t="s">
        <v>1164</v>
      </c>
      <c r="AH62" s="2" t="n">
        <v>1</v>
      </c>
      <c r="AI62" s="4" t="n">
        <v>64.57</v>
      </c>
      <c r="AJ62" s="5" t="n">
        <v>0.1</v>
      </c>
      <c r="AK62" s="5" t="n">
        <v>0.08</v>
      </c>
      <c r="AL62" s="4" t="n">
        <v>19.11</v>
      </c>
      <c r="AM62" s="2" t="s">
        <v>247</v>
      </c>
      <c r="AN62" s="2" t="s">
        <v>557</v>
      </c>
      <c r="AO62" s="2" t="s">
        <v>158</v>
      </c>
      <c r="AP62" s="4" t="n">
        <v>25.83</v>
      </c>
      <c r="AQ62" s="2" t="s">
        <v>1221</v>
      </c>
      <c r="AR62" s="2" t="s">
        <v>1222</v>
      </c>
      <c r="AS62" s="2" t="s">
        <v>527</v>
      </c>
      <c r="AT62" s="2" t="s">
        <v>526</v>
      </c>
      <c r="AU62" s="2" t="s">
        <v>172</v>
      </c>
      <c r="AV62" s="2" t="s">
        <v>375</v>
      </c>
      <c r="AW62" s="2" t="s">
        <v>1223</v>
      </c>
      <c r="AX62" s="3" t="n">
        <v>45620</v>
      </c>
      <c r="AY62" s="3" t="n">
        <v>45622</v>
      </c>
      <c r="AZ62" s="2" t="s">
        <v>203</v>
      </c>
      <c r="BA62" s="2" t="s">
        <v>118</v>
      </c>
      <c r="BB62" s="2" t="s">
        <v>113</v>
      </c>
      <c r="BC62" s="2" t="s">
        <v>113</v>
      </c>
      <c r="BD62" s="2" t="s">
        <v>118</v>
      </c>
      <c r="BE62" s="2" t="s">
        <v>113</v>
      </c>
      <c r="BF62" s="2" t="s">
        <v>226</v>
      </c>
      <c r="BG62" s="2" t="s">
        <v>302</v>
      </c>
      <c r="BH62" s="2" t="s">
        <v>1224</v>
      </c>
      <c r="BI62" s="4" t="n">
        <v>492.28</v>
      </c>
      <c r="BJ62" s="2" t="n">
        <v>11306</v>
      </c>
      <c r="BK62" s="2" t="n">
        <v>160</v>
      </c>
      <c r="BL62" s="2" t="s">
        <v>113</v>
      </c>
      <c r="BM62" s="2" t="s">
        <v>117</v>
      </c>
      <c r="BN62" s="2" t="s">
        <v>304</v>
      </c>
      <c r="BO62" s="2" t="s">
        <v>142</v>
      </c>
      <c r="BP62" s="2" t="s">
        <v>328</v>
      </c>
      <c r="BQ62" s="2" t="n">
        <v>10.4</v>
      </c>
      <c r="BR62" s="2" t="n">
        <v>37</v>
      </c>
      <c r="BS62" s="2" t="s">
        <v>117</v>
      </c>
      <c r="BT62" s="2" t="n">
        <v>16</v>
      </c>
      <c r="BU62" s="2" t="n">
        <v>24.2</v>
      </c>
      <c r="BV62" s="2" t="n">
        <v>31</v>
      </c>
      <c r="BW62" s="3" t="n">
        <v>45891</v>
      </c>
      <c r="BX62" s="2" t="n">
        <v>4</v>
      </c>
      <c r="BY62" s="2" t="n">
        <v>8</v>
      </c>
      <c r="BZ62" s="2" t="s">
        <v>118</v>
      </c>
      <c r="CA62" s="2" t="n">
        <v>46</v>
      </c>
      <c r="CB62" s="2" t="n">
        <v>5</v>
      </c>
      <c r="CC62" s="2" t="n">
        <v>1</v>
      </c>
      <c r="CD62" s="2" t="n">
        <v>68.2</v>
      </c>
      <c r="CE62" s="4" t="n">
        <v>10262.45</v>
      </c>
      <c r="CF62" s="5" t="n">
        <v>91</v>
      </c>
      <c r="CG62" s="2" t="n">
        <v>810</v>
      </c>
      <c r="CH62" s="2" t="s">
        <v>329</v>
      </c>
      <c r="CI62" s="2" t="s">
        <v>118</v>
      </c>
      <c r="CJ62" s="2" t="n">
        <v>2</v>
      </c>
      <c r="CK62" s="2" t="n">
        <v>59</v>
      </c>
      <c r="CL62" s="4" t="n">
        <v>586.37</v>
      </c>
      <c r="CM62" s="2" t="n">
        <v>357</v>
      </c>
      <c r="CN62" s="2" t="s">
        <v>118</v>
      </c>
      <c r="CO62" s="4" t="n">
        <f aca="false">AH62*AI62</f>
        <v>64.57</v>
      </c>
      <c r="CP62" s="4" t="n">
        <f aca="false">CO62*AJ62</f>
        <v>6.457</v>
      </c>
      <c r="CQ62" s="4" t="n">
        <f aca="false">(CO62-CP62)*AK62</f>
        <v>4.64904</v>
      </c>
      <c r="CR62" s="4" t="n">
        <f aca="false">CO62-CP62+CQ62+AL62</f>
        <v>81.87204</v>
      </c>
      <c r="CS62" s="4" t="n">
        <f aca="false">CR62-(AP62*AH62)-AL62</f>
        <v>36.93204</v>
      </c>
      <c r="CT62" s="5" t="n">
        <f aca="false">IFERROR(CS62/CR62,0)</f>
        <v>0.451094659422191</v>
      </c>
      <c r="CU62" s="6" t="n">
        <f aca="false">IFERROR(BK62/BJ62,0)</f>
        <v>0.0141517778170883</v>
      </c>
      <c r="CV62" s="2" t="n">
        <f aca="false">IF(AY62="N/A","N/A",AY62-AX62)</f>
        <v>2</v>
      </c>
    </row>
    <row r="63" customFormat="false" ht="15" hidden="false" customHeight="false" outlineLevel="0" collapsed="false">
      <c r="A63" s="2" t="s">
        <v>1225</v>
      </c>
      <c r="B63" s="2" t="s">
        <v>803</v>
      </c>
      <c r="C63" s="2" t="s">
        <v>1226</v>
      </c>
      <c r="D63" s="2" t="s">
        <v>1227</v>
      </c>
      <c r="E63" s="2" t="s">
        <v>1228</v>
      </c>
      <c r="F63" s="2" t="s">
        <v>105</v>
      </c>
      <c r="G63" s="2" t="n">
        <v>18</v>
      </c>
      <c r="H63" s="3" t="n">
        <v>39393</v>
      </c>
      <c r="I63" s="2" t="s">
        <v>526</v>
      </c>
      <c r="J63" s="2" t="s">
        <v>527</v>
      </c>
      <c r="K63" s="2" t="s">
        <v>527</v>
      </c>
      <c r="L63" s="2" t="s">
        <v>528</v>
      </c>
      <c r="M63" s="2" t="s">
        <v>1229</v>
      </c>
      <c r="N63" s="3" t="n">
        <v>43513</v>
      </c>
      <c r="O63" s="2" t="s">
        <v>155</v>
      </c>
      <c r="P63" s="2" t="n">
        <v>2127</v>
      </c>
      <c r="Q63" s="2" t="s">
        <v>1230</v>
      </c>
      <c r="R63" s="2" t="s">
        <v>113</v>
      </c>
      <c r="S63" s="2" t="s">
        <v>114</v>
      </c>
      <c r="T63" s="2" t="s">
        <v>551</v>
      </c>
      <c r="U63" s="2" t="s">
        <v>116</v>
      </c>
      <c r="V63" s="2" t="s">
        <v>117</v>
      </c>
      <c r="W63" s="2" t="s">
        <v>118</v>
      </c>
      <c r="X63" s="2" t="s">
        <v>1231</v>
      </c>
      <c r="Y63" s="3" t="n">
        <v>45483</v>
      </c>
      <c r="Z63" s="2" t="s">
        <v>1232</v>
      </c>
      <c r="AA63" s="2" t="s">
        <v>161</v>
      </c>
      <c r="AB63" s="2" t="s">
        <v>122</v>
      </c>
      <c r="AC63" s="2" t="s">
        <v>1233</v>
      </c>
      <c r="AD63" s="2" t="s">
        <v>1106</v>
      </c>
      <c r="AE63" s="2" t="s">
        <v>125</v>
      </c>
      <c r="AF63" s="2" t="s">
        <v>275</v>
      </c>
      <c r="AG63" s="2" t="s">
        <v>457</v>
      </c>
      <c r="AH63" s="2" t="n">
        <v>4</v>
      </c>
      <c r="AI63" s="4" t="n">
        <v>144.11</v>
      </c>
      <c r="AJ63" s="5" t="n">
        <v>0.15</v>
      </c>
      <c r="AK63" s="5" t="n">
        <v>0.08</v>
      </c>
      <c r="AL63" s="4" t="n">
        <v>7.5</v>
      </c>
      <c r="AM63" s="2" t="s">
        <v>247</v>
      </c>
      <c r="AN63" s="2" t="s">
        <v>248</v>
      </c>
      <c r="AO63" s="2" t="s">
        <v>169</v>
      </c>
      <c r="AP63" s="4" t="n">
        <v>50.44</v>
      </c>
      <c r="AQ63" s="2" t="s">
        <v>1234</v>
      </c>
      <c r="AR63" s="2" t="s">
        <v>1235</v>
      </c>
      <c r="AS63" s="2" t="s">
        <v>527</v>
      </c>
      <c r="AT63" s="2" t="s">
        <v>526</v>
      </c>
      <c r="AU63" s="2" t="s">
        <v>251</v>
      </c>
      <c r="AV63" s="2" t="s">
        <v>351</v>
      </c>
      <c r="AW63" s="2" t="s">
        <v>1236</v>
      </c>
      <c r="AX63" s="3" t="n">
        <v>45490</v>
      </c>
      <c r="AY63" s="3" t="n">
        <v>45490</v>
      </c>
      <c r="AZ63" s="2" t="s">
        <v>203</v>
      </c>
      <c r="BA63" s="2" t="s">
        <v>118</v>
      </c>
      <c r="BB63" s="2" t="s">
        <v>113</v>
      </c>
      <c r="BC63" s="2" t="s">
        <v>113</v>
      </c>
      <c r="BD63" s="2" t="s">
        <v>118</v>
      </c>
      <c r="BE63" s="2" t="s">
        <v>113</v>
      </c>
      <c r="BF63" s="2" t="s">
        <v>280</v>
      </c>
      <c r="BG63" s="2" t="s">
        <v>281</v>
      </c>
      <c r="BH63" s="2" t="s">
        <v>1237</v>
      </c>
      <c r="BI63" s="4" t="n">
        <v>227.68</v>
      </c>
      <c r="BJ63" s="2" t="n">
        <v>12299</v>
      </c>
      <c r="BK63" s="2" t="n">
        <v>752</v>
      </c>
      <c r="BL63" s="2" t="s">
        <v>140</v>
      </c>
      <c r="BM63" s="2" t="s">
        <v>118</v>
      </c>
      <c r="BN63" s="2" t="s">
        <v>304</v>
      </c>
      <c r="BO63" s="2" t="s">
        <v>258</v>
      </c>
      <c r="BP63" s="2" t="s">
        <v>143</v>
      </c>
      <c r="BQ63" s="2" t="n">
        <v>25.3</v>
      </c>
      <c r="BR63" s="2" t="n">
        <v>17</v>
      </c>
      <c r="BS63" s="2" t="s">
        <v>118</v>
      </c>
      <c r="BT63" s="2" t="n">
        <v>13</v>
      </c>
      <c r="BU63" s="2" t="n">
        <v>4.5</v>
      </c>
      <c r="BV63" s="2" t="n">
        <v>56</v>
      </c>
      <c r="BW63" s="3" t="n">
        <v>45686</v>
      </c>
      <c r="BX63" s="2" t="n">
        <v>5</v>
      </c>
      <c r="BY63" s="2" t="n">
        <v>147</v>
      </c>
      <c r="BZ63" s="2" t="s">
        <v>118</v>
      </c>
      <c r="CA63" s="2" t="n">
        <v>47</v>
      </c>
      <c r="CB63" s="2" t="n">
        <v>4</v>
      </c>
      <c r="CC63" s="2" t="n">
        <v>0</v>
      </c>
      <c r="CD63" s="2" t="n">
        <v>0</v>
      </c>
      <c r="CE63" s="4" t="n">
        <v>10826.19</v>
      </c>
      <c r="CF63" s="5" t="n">
        <v>80.4</v>
      </c>
      <c r="CG63" s="2" t="n">
        <v>742</v>
      </c>
      <c r="CH63" s="2" t="s">
        <v>144</v>
      </c>
      <c r="CI63" s="2" t="s">
        <v>117</v>
      </c>
      <c r="CJ63" s="2" t="n">
        <v>4</v>
      </c>
      <c r="CK63" s="2" t="n">
        <v>46</v>
      </c>
      <c r="CL63" s="4" t="n">
        <v>208.55</v>
      </c>
      <c r="CM63" s="2" t="n">
        <v>261</v>
      </c>
      <c r="CN63" s="2" t="s">
        <v>118</v>
      </c>
      <c r="CO63" s="4" t="n">
        <f aca="false">AH63*AI63</f>
        <v>576.44</v>
      </c>
      <c r="CP63" s="4" t="n">
        <f aca="false">CO63*AJ63</f>
        <v>86.466</v>
      </c>
      <c r="CQ63" s="4" t="n">
        <f aca="false">(CO63-CP63)*AK63</f>
        <v>39.19792</v>
      </c>
      <c r="CR63" s="4" t="n">
        <f aca="false">CO63-CP63+CQ63+AL63</f>
        <v>536.67192</v>
      </c>
      <c r="CS63" s="4" t="n">
        <f aca="false">CR63-(AP63*AH63)-AL63</f>
        <v>327.41192</v>
      </c>
      <c r="CT63" s="5" t="n">
        <f aca="false">IFERROR(CS63/CR63,0)</f>
        <v>0.610078351034278</v>
      </c>
      <c r="CU63" s="6" t="n">
        <f aca="false">IFERROR(BK63/BJ63,0)</f>
        <v>0.0611431823725506</v>
      </c>
      <c r="CV63" s="2" t="n">
        <f aca="false">IF(AY63="N/A","N/A",AY63-AX63)</f>
        <v>0</v>
      </c>
    </row>
    <row r="64" customFormat="false" ht="15" hidden="false" customHeight="false" outlineLevel="0" collapsed="false">
      <c r="A64" s="2" t="s">
        <v>1238</v>
      </c>
      <c r="B64" s="2" t="s">
        <v>306</v>
      </c>
      <c r="C64" s="2" t="s">
        <v>1239</v>
      </c>
      <c r="D64" s="2" t="s">
        <v>1240</v>
      </c>
      <c r="E64" s="2" t="s">
        <v>1241</v>
      </c>
      <c r="F64" s="2" t="s">
        <v>105</v>
      </c>
      <c r="G64" s="2" t="n">
        <v>42</v>
      </c>
      <c r="H64" s="3" t="n">
        <v>30599</v>
      </c>
      <c r="I64" s="2" t="s">
        <v>807</v>
      </c>
      <c r="J64" s="2" t="s">
        <v>1242</v>
      </c>
      <c r="K64" s="2" t="s">
        <v>1243</v>
      </c>
      <c r="L64" s="2" t="s">
        <v>1244</v>
      </c>
      <c r="M64" s="2" t="s">
        <v>1245</v>
      </c>
      <c r="N64" s="3" t="n">
        <v>43694</v>
      </c>
      <c r="O64" s="2" t="s">
        <v>111</v>
      </c>
      <c r="P64" s="2" t="n">
        <v>2763</v>
      </c>
      <c r="Q64" s="2" t="s">
        <v>1246</v>
      </c>
      <c r="R64" s="2" t="s">
        <v>305</v>
      </c>
      <c r="S64" s="2" t="s">
        <v>190</v>
      </c>
      <c r="T64" s="2" t="s">
        <v>551</v>
      </c>
      <c r="U64" s="2" t="s">
        <v>222</v>
      </c>
      <c r="V64" s="2" t="s">
        <v>117</v>
      </c>
      <c r="W64" s="2" t="s">
        <v>118</v>
      </c>
      <c r="X64" s="2" t="s">
        <v>1247</v>
      </c>
      <c r="Y64" s="3" t="n">
        <v>45723</v>
      </c>
      <c r="Z64" s="2" t="s">
        <v>1248</v>
      </c>
      <c r="AA64" s="2" t="s">
        <v>161</v>
      </c>
      <c r="AB64" s="2" t="s">
        <v>162</v>
      </c>
      <c r="AC64" s="2" t="s">
        <v>1249</v>
      </c>
      <c r="AD64" s="2" t="s">
        <v>244</v>
      </c>
      <c r="AE64" s="2" t="s">
        <v>165</v>
      </c>
      <c r="AF64" s="2" t="s">
        <v>990</v>
      </c>
      <c r="AG64" s="2" t="s">
        <v>246</v>
      </c>
      <c r="AH64" s="2" t="n">
        <v>1</v>
      </c>
      <c r="AI64" s="4" t="n">
        <v>50.61</v>
      </c>
      <c r="AJ64" s="5" t="n">
        <v>0.15</v>
      </c>
      <c r="AK64" s="5" t="n">
        <v>0.08</v>
      </c>
      <c r="AL64" s="4" t="n">
        <v>15.45</v>
      </c>
      <c r="AM64" s="2" t="s">
        <v>221</v>
      </c>
      <c r="AN64" s="2" t="s">
        <v>129</v>
      </c>
      <c r="AO64" s="2" t="s">
        <v>116</v>
      </c>
      <c r="AP64" s="4" t="n">
        <v>25.3</v>
      </c>
      <c r="AQ64" s="2" t="s">
        <v>1250</v>
      </c>
      <c r="AR64" s="2" t="s">
        <v>1251</v>
      </c>
      <c r="AS64" s="2" t="s">
        <v>1243</v>
      </c>
      <c r="AT64" s="2" t="s">
        <v>807</v>
      </c>
      <c r="AU64" s="2" t="s">
        <v>251</v>
      </c>
      <c r="AV64" s="2" t="s">
        <v>278</v>
      </c>
      <c r="AW64" s="2" t="s">
        <v>1252</v>
      </c>
      <c r="AX64" s="3" t="n">
        <v>45728</v>
      </c>
      <c r="AY64" s="3" t="n">
        <v>45731</v>
      </c>
      <c r="AZ64" s="2" t="s">
        <v>136</v>
      </c>
      <c r="BA64" s="2" t="s">
        <v>118</v>
      </c>
      <c r="BB64" s="2" t="s">
        <v>113</v>
      </c>
      <c r="BC64" s="2" t="s">
        <v>113</v>
      </c>
      <c r="BD64" s="2" t="s">
        <v>118</v>
      </c>
      <c r="BE64" s="2" t="s">
        <v>113</v>
      </c>
      <c r="BF64" s="2" t="s">
        <v>280</v>
      </c>
      <c r="BG64" s="2" t="s">
        <v>679</v>
      </c>
      <c r="BH64" s="2" t="s">
        <v>1253</v>
      </c>
      <c r="BI64" s="4" t="n">
        <v>265.74</v>
      </c>
      <c r="BJ64" s="2" t="n">
        <v>8864</v>
      </c>
      <c r="BK64" s="2" t="n">
        <v>1244</v>
      </c>
      <c r="BL64" s="2" t="s">
        <v>1254</v>
      </c>
      <c r="BM64" s="2" t="s">
        <v>118</v>
      </c>
      <c r="BN64" s="2" t="s">
        <v>304</v>
      </c>
      <c r="BO64" s="2" t="s">
        <v>258</v>
      </c>
      <c r="BP64" s="2" t="s">
        <v>328</v>
      </c>
      <c r="BQ64" s="2" t="n">
        <v>38.8</v>
      </c>
      <c r="BR64" s="2" t="n">
        <v>21</v>
      </c>
      <c r="BS64" s="2" t="s">
        <v>118</v>
      </c>
      <c r="BT64" s="2" t="n">
        <v>14</v>
      </c>
      <c r="BU64" s="2" t="n">
        <v>29.3</v>
      </c>
      <c r="BV64" s="2" t="n">
        <v>35</v>
      </c>
      <c r="BW64" s="3" t="n">
        <v>45862</v>
      </c>
      <c r="BX64" s="2" t="n">
        <v>5</v>
      </c>
      <c r="BY64" s="2" t="n">
        <v>140</v>
      </c>
      <c r="BZ64" s="2" t="s">
        <v>117</v>
      </c>
      <c r="CA64" s="2" t="n">
        <v>33</v>
      </c>
      <c r="CB64" s="2" t="n">
        <v>8</v>
      </c>
      <c r="CC64" s="2" t="n">
        <v>3</v>
      </c>
      <c r="CD64" s="2" t="n">
        <v>12.5</v>
      </c>
      <c r="CE64" s="4" t="n">
        <v>12820.47</v>
      </c>
      <c r="CF64" s="5" t="n">
        <v>12.5</v>
      </c>
      <c r="CG64" s="2" t="n">
        <v>540</v>
      </c>
      <c r="CH64" s="2" t="s">
        <v>144</v>
      </c>
      <c r="CI64" s="2" t="s">
        <v>117</v>
      </c>
      <c r="CJ64" s="2" t="n">
        <v>9</v>
      </c>
      <c r="CK64" s="2" t="n">
        <v>77</v>
      </c>
      <c r="CL64" s="4" t="n">
        <v>284.8</v>
      </c>
      <c r="CM64" s="2" t="n">
        <v>383</v>
      </c>
      <c r="CN64" s="2" t="s">
        <v>118</v>
      </c>
      <c r="CO64" s="4" t="n">
        <f aca="false">AH64*AI64</f>
        <v>50.61</v>
      </c>
      <c r="CP64" s="4" t="n">
        <f aca="false">CO64*AJ64</f>
        <v>7.5915</v>
      </c>
      <c r="CQ64" s="4" t="n">
        <f aca="false">(CO64-CP64)*AK64</f>
        <v>3.44148</v>
      </c>
      <c r="CR64" s="4" t="n">
        <f aca="false">CO64-CP64+CQ64+AL64</f>
        <v>61.90998</v>
      </c>
      <c r="CS64" s="4" t="n">
        <f aca="false">CR64-(AP64*AH64)-AL64</f>
        <v>21.15998</v>
      </c>
      <c r="CT64" s="5" t="n">
        <f aca="false">IFERROR(CS64/CR64,0)</f>
        <v>0.341786251586578</v>
      </c>
      <c r="CU64" s="6" t="n">
        <f aca="false">IFERROR(BK64/BJ64,0)</f>
        <v>0.140342960288809</v>
      </c>
      <c r="CV64" s="2" t="n">
        <f aca="false">IF(AY64="N/A","N/A",AY64-AX64)</f>
        <v>3</v>
      </c>
    </row>
    <row r="65" customFormat="false" ht="15" hidden="false" customHeight="false" outlineLevel="0" collapsed="false">
      <c r="A65" s="2" t="s">
        <v>1255</v>
      </c>
      <c r="B65" s="2" t="s">
        <v>1256</v>
      </c>
      <c r="C65" s="2" t="s">
        <v>1257</v>
      </c>
      <c r="D65" s="2" t="s">
        <v>1258</v>
      </c>
      <c r="E65" s="2" t="s">
        <v>1259</v>
      </c>
      <c r="F65" s="2" t="s">
        <v>184</v>
      </c>
      <c r="G65" s="2" t="n">
        <v>58</v>
      </c>
      <c r="H65" s="3" t="n">
        <v>24794</v>
      </c>
      <c r="I65" s="2" t="s">
        <v>487</v>
      </c>
      <c r="J65" s="2" t="s">
        <v>488</v>
      </c>
      <c r="K65" s="2" t="s">
        <v>489</v>
      </c>
      <c r="L65" s="2" t="s">
        <v>490</v>
      </c>
      <c r="M65" s="2" t="s">
        <v>1260</v>
      </c>
      <c r="N65" s="3" t="n">
        <v>44523</v>
      </c>
      <c r="O65" s="2" t="s">
        <v>311</v>
      </c>
      <c r="P65" s="2" t="n">
        <v>1860</v>
      </c>
      <c r="Q65" s="2" t="s">
        <v>1261</v>
      </c>
      <c r="R65" s="2" t="s">
        <v>113</v>
      </c>
      <c r="S65" s="2" t="s">
        <v>114</v>
      </c>
      <c r="T65" s="2" t="s">
        <v>722</v>
      </c>
      <c r="U65" s="2" t="s">
        <v>116</v>
      </c>
      <c r="V65" s="2" t="s">
        <v>117</v>
      </c>
      <c r="W65" s="2" t="s">
        <v>117</v>
      </c>
      <c r="X65" s="2" t="s">
        <v>1262</v>
      </c>
      <c r="Y65" s="3" t="n">
        <v>45383</v>
      </c>
      <c r="Z65" s="2" t="s">
        <v>1263</v>
      </c>
      <c r="AA65" s="2" t="s">
        <v>161</v>
      </c>
      <c r="AB65" s="2" t="s">
        <v>122</v>
      </c>
      <c r="AC65" s="2" t="s">
        <v>1264</v>
      </c>
      <c r="AD65" s="2" t="s">
        <v>1265</v>
      </c>
      <c r="AE65" s="2" t="s">
        <v>295</v>
      </c>
      <c r="AF65" s="2" t="s">
        <v>1220</v>
      </c>
      <c r="AG65" s="2" t="s">
        <v>834</v>
      </c>
      <c r="AH65" s="2" t="n">
        <v>3</v>
      </c>
      <c r="AI65" s="4" t="n">
        <v>18.24</v>
      </c>
      <c r="AJ65" s="5" t="n">
        <v>0</v>
      </c>
      <c r="AK65" s="5" t="n">
        <v>0.08</v>
      </c>
      <c r="AL65" s="4" t="n">
        <v>16.21</v>
      </c>
      <c r="AM65" s="2" t="s">
        <v>247</v>
      </c>
      <c r="AN65" s="2" t="s">
        <v>475</v>
      </c>
      <c r="AO65" s="2" t="s">
        <v>116</v>
      </c>
      <c r="AP65" s="4" t="n">
        <v>7.3</v>
      </c>
      <c r="AQ65" s="2" t="s">
        <v>1266</v>
      </c>
      <c r="AR65" s="2" t="s">
        <v>1267</v>
      </c>
      <c r="AS65" s="2" t="s">
        <v>489</v>
      </c>
      <c r="AT65" s="2" t="s">
        <v>487</v>
      </c>
      <c r="AU65" s="2" t="s">
        <v>251</v>
      </c>
      <c r="AV65" s="2" t="s">
        <v>134</v>
      </c>
      <c r="AW65" s="2" t="s">
        <v>1268</v>
      </c>
      <c r="AX65" s="3" t="n">
        <v>45385</v>
      </c>
      <c r="AY65" s="3" t="n">
        <v>45385</v>
      </c>
      <c r="AZ65" s="2" t="s">
        <v>301</v>
      </c>
      <c r="BA65" s="2" t="s">
        <v>118</v>
      </c>
      <c r="BB65" s="2" t="s">
        <v>113</v>
      </c>
      <c r="BC65" s="2" t="s">
        <v>113</v>
      </c>
      <c r="BD65" s="2" t="s">
        <v>118</v>
      </c>
      <c r="BE65" s="2" t="s">
        <v>113</v>
      </c>
      <c r="BF65" s="2" t="s">
        <v>137</v>
      </c>
      <c r="BG65" s="2" t="s">
        <v>401</v>
      </c>
      <c r="BH65" s="2" t="s">
        <v>1269</v>
      </c>
      <c r="BI65" s="4" t="n">
        <v>139.71</v>
      </c>
      <c r="BJ65" s="2" t="n">
        <v>372</v>
      </c>
      <c r="BK65" s="2" t="n">
        <v>49</v>
      </c>
      <c r="BL65" s="2" t="s">
        <v>113</v>
      </c>
      <c r="BM65" s="2" t="s">
        <v>117</v>
      </c>
      <c r="BN65" s="2" t="s">
        <v>304</v>
      </c>
      <c r="BO65" s="2" t="s">
        <v>142</v>
      </c>
      <c r="BP65" s="2" t="s">
        <v>143</v>
      </c>
      <c r="BQ65" s="2" t="n">
        <v>1.4</v>
      </c>
      <c r="BR65" s="2" t="n">
        <v>4</v>
      </c>
      <c r="BS65" s="2" t="s">
        <v>118</v>
      </c>
      <c r="BT65" s="2" t="n">
        <v>0</v>
      </c>
      <c r="BU65" s="2" t="n">
        <v>6.4</v>
      </c>
      <c r="BV65" s="2" t="n">
        <v>7</v>
      </c>
      <c r="BW65" s="3" t="n">
        <v>45671</v>
      </c>
      <c r="BX65" s="2" t="n">
        <v>5</v>
      </c>
      <c r="BY65" s="2" t="n">
        <v>68</v>
      </c>
      <c r="BZ65" s="2" t="s">
        <v>117</v>
      </c>
      <c r="CA65" s="2" t="n">
        <v>-26</v>
      </c>
      <c r="CB65" s="2" t="n">
        <v>10</v>
      </c>
      <c r="CC65" s="2" t="n">
        <v>1</v>
      </c>
      <c r="CD65" s="2" t="n">
        <v>57.5</v>
      </c>
      <c r="CE65" s="4" t="n">
        <v>8245.77</v>
      </c>
      <c r="CF65" s="5" t="n">
        <v>18.9</v>
      </c>
      <c r="CG65" s="2" t="n">
        <v>747</v>
      </c>
      <c r="CH65" s="2" t="s">
        <v>329</v>
      </c>
      <c r="CI65" s="2" t="s">
        <v>118</v>
      </c>
      <c r="CJ65" s="2" t="n">
        <v>3</v>
      </c>
      <c r="CK65" s="2" t="n">
        <v>12</v>
      </c>
      <c r="CL65" s="4" t="n">
        <v>107.4</v>
      </c>
      <c r="CM65" s="2" t="n">
        <v>252</v>
      </c>
      <c r="CN65" s="2" t="s">
        <v>118</v>
      </c>
      <c r="CO65" s="4" t="n">
        <f aca="false">AH65*AI65</f>
        <v>54.72</v>
      </c>
      <c r="CP65" s="4" t="n">
        <f aca="false">CO65*AJ65</f>
        <v>0</v>
      </c>
      <c r="CQ65" s="4" t="n">
        <f aca="false">(CO65-CP65)*AK65</f>
        <v>4.3776</v>
      </c>
      <c r="CR65" s="4" t="n">
        <f aca="false">CO65-CP65+CQ65+AL65</f>
        <v>75.3076</v>
      </c>
      <c r="CS65" s="4" t="n">
        <f aca="false">CR65-(AP65*AH65)-AL65</f>
        <v>37.1976</v>
      </c>
      <c r="CT65" s="5" t="n">
        <f aca="false">IFERROR(CS65/CR65,0)</f>
        <v>0.493942178478666</v>
      </c>
      <c r="CU65" s="6" t="n">
        <f aca="false">IFERROR(BK65/BJ65,0)</f>
        <v>0.131720430107527</v>
      </c>
      <c r="CV65" s="2" t="n">
        <f aca="false">IF(AY65="N/A","N/A",AY65-AX65)</f>
        <v>0</v>
      </c>
    </row>
    <row r="66" customFormat="false" ht="15" hidden="false" customHeight="false" outlineLevel="0" collapsed="false">
      <c r="A66" s="2" t="s">
        <v>1270</v>
      </c>
      <c r="B66" s="2" t="s">
        <v>1271</v>
      </c>
      <c r="C66" s="2" t="s">
        <v>1272</v>
      </c>
      <c r="D66" s="2" t="s">
        <v>1273</v>
      </c>
      <c r="E66" s="2" t="s">
        <v>1274</v>
      </c>
      <c r="F66" s="2" t="s">
        <v>150</v>
      </c>
      <c r="G66" s="2" t="n">
        <v>41</v>
      </c>
      <c r="H66" s="3" t="n">
        <v>30917</v>
      </c>
      <c r="I66" s="2" t="s">
        <v>265</v>
      </c>
      <c r="J66" s="2" t="s">
        <v>448</v>
      </c>
      <c r="K66" s="2" t="s">
        <v>449</v>
      </c>
      <c r="L66" s="2" t="s">
        <v>450</v>
      </c>
      <c r="M66" s="2" t="s">
        <v>1275</v>
      </c>
      <c r="N66" s="3" t="n">
        <v>44453</v>
      </c>
      <c r="O66" s="2" t="s">
        <v>155</v>
      </c>
      <c r="P66" s="2" t="n">
        <v>1196</v>
      </c>
      <c r="Q66" s="2" t="s">
        <v>1276</v>
      </c>
      <c r="R66" s="2" t="s">
        <v>1211</v>
      </c>
      <c r="S66" s="2" t="s">
        <v>114</v>
      </c>
      <c r="T66" s="2" t="s">
        <v>365</v>
      </c>
      <c r="U66" s="2" t="s">
        <v>215</v>
      </c>
      <c r="V66" s="2" t="s">
        <v>118</v>
      </c>
      <c r="W66" s="2" t="s">
        <v>118</v>
      </c>
      <c r="X66" s="2" t="s">
        <v>1277</v>
      </c>
      <c r="Y66" s="3" t="n">
        <v>45349</v>
      </c>
      <c r="Z66" s="2" t="s">
        <v>1278</v>
      </c>
      <c r="AA66" s="2" t="s">
        <v>161</v>
      </c>
      <c r="AB66" s="2" t="s">
        <v>342</v>
      </c>
      <c r="AC66" s="2" t="s">
        <v>1279</v>
      </c>
      <c r="AD66" s="2" t="s">
        <v>709</v>
      </c>
      <c r="AE66" s="2" t="s">
        <v>317</v>
      </c>
      <c r="AF66" s="2" t="s">
        <v>318</v>
      </c>
      <c r="AG66" s="2" t="s">
        <v>1280</v>
      </c>
      <c r="AH66" s="2" t="n">
        <v>4</v>
      </c>
      <c r="AI66" s="4" t="n">
        <v>130.32</v>
      </c>
      <c r="AJ66" s="5" t="n">
        <v>0.1</v>
      </c>
      <c r="AK66" s="5" t="n">
        <v>0.08</v>
      </c>
      <c r="AL66" s="4" t="n">
        <v>0.38</v>
      </c>
      <c r="AM66" s="2" t="s">
        <v>419</v>
      </c>
      <c r="AN66" s="2" t="s">
        <v>129</v>
      </c>
      <c r="AO66" s="2" t="s">
        <v>116</v>
      </c>
      <c r="AP66" s="4" t="n">
        <v>65.16</v>
      </c>
      <c r="AQ66" s="2" t="s">
        <v>1281</v>
      </c>
      <c r="AR66" s="2" t="s">
        <v>1282</v>
      </c>
      <c r="AS66" s="2" t="s">
        <v>449</v>
      </c>
      <c r="AT66" s="2" t="s">
        <v>265</v>
      </c>
      <c r="AU66" s="2" t="s">
        <v>133</v>
      </c>
      <c r="AV66" s="2" t="s">
        <v>351</v>
      </c>
      <c r="AW66" s="2" t="s">
        <v>1283</v>
      </c>
      <c r="AX66" s="3" t="n">
        <v>45357</v>
      </c>
      <c r="AY66" s="3" t="n">
        <v>45355</v>
      </c>
      <c r="AZ66" s="2" t="s">
        <v>136</v>
      </c>
      <c r="BA66" s="2" t="s">
        <v>118</v>
      </c>
      <c r="BB66" s="2" t="s">
        <v>113</v>
      </c>
      <c r="BC66" s="2" t="s">
        <v>113</v>
      </c>
      <c r="BD66" s="2" t="s">
        <v>118</v>
      </c>
      <c r="BE66" s="2" t="s">
        <v>113</v>
      </c>
      <c r="BF66" s="2" t="s">
        <v>137</v>
      </c>
      <c r="BG66" s="2" t="s">
        <v>917</v>
      </c>
      <c r="BH66" s="2" t="s">
        <v>1284</v>
      </c>
      <c r="BI66" s="4" t="n">
        <v>188.84</v>
      </c>
      <c r="BJ66" s="2" t="n">
        <v>8257</v>
      </c>
      <c r="BK66" s="2" t="n">
        <v>793</v>
      </c>
      <c r="BL66" s="2" t="s">
        <v>1285</v>
      </c>
      <c r="BM66" s="2" t="s">
        <v>118</v>
      </c>
      <c r="BN66" s="2" t="s">
        <v>177</v>
      </c>
      <c r="BO66" s="2" t="s">
        <v>178</v>
      </c>
      <c r="BP66" s="2" t="s">
        <v>328</v>
      </c>
      <c r="BQ66" s="2" t="n">
        <v>31</v>
      </c>
      <c r="BR66" s="2" t="n">
        <v>22</v>
      </c>
      <c r="BS66" s="2" t="s">
        <v>118</v>
      </c>
      <c r="BT66" s="2" t="n">
        <v>20</v>
      </c>
      <c r="BU66" s="2" t="n">
        <v>2.7</v>
      </c>
      <c r="BV66" s="2" t="n">
        <v>23</v>
      </c>
      <c r="BW66" s="3" t="n">
        <v>46009</v>
      </c>
      <c r="BX66" s="2" t="n">
        <v>4</v>
      </c>
      <c r="BY66" s="2" t="n">
        <v>39</v>
      </c>
      <c r="BZ66" s="2" t="s">
        <v>118</v>
      </c>
      <c r="CA66" s="2" t="n">
        <v>97</v>
      </c>
      <c r="CB66" s="2" t="n">
        <v>2</v>
      </c>
      <c r="CC66" s="2" t="n">
        <v>4</v>
      </c>
      <c r="CD66" s="2" t="n">
        <v>48.1</v>
      </c>
      <c r="CE66" s="4" t="n">
        <v>3166.28</v>
      </c>
      <c r="CF66" s="5" t="n">
        <v>38.9</v>
      </c>
      <c r="CG66" s="2" t="n">
        <v>619</v>
      </c>
      <c r="CH66" s="2" t="s">
        <v>283</v>
      </c>
      <c r="CI66" s="2" t="s">
        <v>117</v>
      </c>
      <c r="CJ66" s="2" t="n">
        <v>3</v>
      </c>
      <c r="CK66" s="2" t="n">
        <v>41</v>
      </c>
      <c r="CL66" s="4" t="n">
        <v>589.37</v>
      </c>
      <c r="CM66" s="2" t="n">
        <v>330</v>
      </c>
      <c r="CN66" s="2" t="s">
        <v>118</v>
      </c>
      <c r="CO66" s="4" t="n">
        <f aca="false">AH66*AI66</f>
        <v>521.28</v>
      </c>
      <c r="CP66" s="4" t="n">
        <f aca="false">CO66*AJ66</f>
        <v>52.128</v>
      </c>
      <c r="CQ66" s="4" t="n">
        <f aca="false">(CO66-CP66)*AK66</f>
        <v>37.53216</v>
      </c>
      <c r="CR66" s="4" t="n">
        <f aca="false">CO66-CP66+CQ66+AL66</f>
        <v>507.06416</v>
      </c>
      <c r="CS66" s="4" t="n">
        <f aca="false">CR66-(AP66*AH66)-AL66</f>
        <v>246.04416</v>
      </c>
      <c r="CT66" s="5" t="n">
        <f aca="false">IFERROR(CS66/CR66,0)</f>
        <v>0.485232795786632</v>
      </c>
      <c r="CU66" s="6" t="n">
        <f aca="false">IFERROR(BK66/BJ66,0)</f>
        <v>0.0960397238706552</v>
      </c>
      <c r="CV66" s="2" t="n">
        <f aca="false">IF(AY66="N/A","N/A",AY66-AX66)</f>
        <v>-2</v>
      </c>
    </row>
    <row r="67" customFormat="false" ht="15" hidden="false" customHeight="false" outlineLevel="0" collapsed="false">
      <c r="A67" s="2" t="s">
        <v>1286</v>
      </c>
      <c r="B67" s="2" t="s">
        <v>405</v>
      </c>
      <c r="C67" s="2" t="s">
        <v>1287</v>
      </c>
      <c r="D67" s="2" t="s">
        <v>1288</v>
      </c>
      <c r="E67" s="2" t="s">
        <v>1289</v>
      </c>
      <c r="F67" s="2" t="s">
        <v>105</v>
      </c>
      <c r="G67" s="2" t="n">
        <v>19</v>
      </c>
      <c r="H67" s="3" t="n">
        <v>39064</v>
      </c>
      <c r="I67" s="2" t="s">
        <v>526</v>
      </c>
      <c r="J67" s="2" t="s">
        <v>700</v>
      </c>
      <c r="K67" s="2" t="s">
        <v>701</v>
      </c>
      <c r="L67" s="2" t="s">
        <v>702</v>
      </c>
      <c r="M67" s="2" t="s">
        <v>1290</v>
      </c>
      <c r="N67" s="3" t="n">
        <v>43652</v>
      </c>
      <c r="O67" s="2" t="s">
        <v>155</v>
      </c>
      <c r="P67" s="2" t="n">
        <v>323</v>
      </c>
      <c r="Q67" s="2" t="s">
        <v>1291</v>
      </c>
      <c r="R67" s="2" t="s">
        <v>113</v>
      </c>
      <c r="S67" s="2" t="s">
        <v>114</v>
      </c>
      <c r="T67" s="2" t="s">
        <v>191</v>
      </c>
      <c r="U67" s="2" t="s">
        <v>158</v>
      </c>
      <c r="V67" s="2" t="s">
        <v>117</v>
      </c>
      <c r="W67" s="2" t="s">
        <v>117</v>
      </c>
      <c r="X67" s="2" t="s">
        <v>1292</v>
      </c>
      <c r="Y67" s="3" t="n">
        <v>45788</v>
      </c>
      <c r="Z67" s="2" t="s">
        <v>1293</v>
      </c>
      <c r="AA67" s="2" t="s">
        <v>161</v>
      </c>
      <c r="AB67" s="2" t="s">
        <v>218</v>
      </c>
      <c r="AC67" s="2" t="s">
        <v>1294</v>
      </c>
      <c r="AD67" s="2" t="s">
        <v>164</v>
      </c>
      <c r="AE67" s="2" t="s">
        <v>165</v>
      </c>
      <c r="AF67" s="2" t="s">
        <v>166</v>
      </c>
      <c r="AG67" s="2" t="s">
        <v>246</v>
      </c>
      <c r="AH67" s="2" t="n">
        <v>5</v>
      </c>
      <c r="AI67" s="4" t="n">
        <v>352.15</v>
      </c>
      <c r="AJ67" s="5" t="n">
        <v>0.05</v>
      </c>
      <c r="AK67" s="5" t="n">
        <v>0.08</v>
      </c>
      <c r="AL67" s="4" t="n">
        <v>8.07</v>
      </c>
      <c r="AM67" s="2" t="s">
        <v>128</v>
      </c>
      <c r="AN67" s="2" t="s">
        <v>129</v>
      </c>
      <c r="AO67" s="2" t="s">
        <v>169</v>
      </c>
      <c r="AP67" s="4" t="n">
        <v>176.07</v>
      </c>
      <c r="AQ67" s="2" t="s">
        <v>1295</v>
      </c>
      <c r="AR67" s="2" t="s">
        <v>1296</v>
      </c>
      <c r="AS67" s="2" t="s">
        <v>701</v>
      </c>
      <c r="AT67" s="2" t="s">
        <v>526</v>
      </c>
      <c r="AU67" s="2" t="s">
        <v>133</v>
      </c>
      <c r="AV67" s="2" t="s">
        <v>134</v>
      </c>
      <c r="AW67" s="2" t="s">
        <v>1297</v>
      </c>
      <c r="AX67" s="3" t="n">
        <v>45792</v>
      </c>
      <c r="AY67" s="3" t="n">
        <v>45795</v>
      </c>
      <c r="AZ67" s="2" t="s">
        <v>301</v>
      </c>
      <c r="BA67" s="2" t="s">
        <v>118</v>
      </c>
      <c r="BB67" s="2" t="s">
        <v>113</v>
      </c>
      <c r="BC67" s="2" t="s">
        <v>113</v>
      </c>
      <c r="BD67" s="2" t="s">
        <v>118</v>
      </c>
      <c r="BE67" s="2" t="s">
        <v>113</v>
      </c>
      <c r="BF67" s="2" t="s">
        <v>226</v>
      </c>
      <c r="BG67" s="2" t="s">
        <v>227</v>
      </c>
      <c r="BH67" s="2" t="s">
        <v>1298</v>
      </c>
      <c r="BI67" s="4" t="n">
        <v>245.26</v>
      </c>
      <c r="BJ67" s="2" t="n">
        <v>19717</v>
      </c>
      <c r="BK67" s="2" t="n">
        <v>2276</v>
      </c>
      <c r="BL67" s="2" t="s">
        <v>1299</v>
      </c>
      <c r="BM67" s="2" t="s">
        <v>118</v>
      </c>
      <c r="BN67" s="2" t="s">
        <v>177</v>
      </c>
      <c r="BO67" s="2" t="s">
        <v>229</v>
      </c>
      <c r="BP67" s="2" t="s">
        <v>328</v>
      </c>
      <c r="BQ67" s="2" t="n">
        <v>17.8</v>
      </c>
      <c r="BR67" s="2" t="n">
        <v>32</v>
      </c>
      <c r="BS67" s="2" t="s">
        <v>118</v>
      </c>
      <c r="BT67" s="2" t="n">
        <v>18</v>
      </c>
      <c r="BU67" s="2" t="n">
        <v>8.4</v>
      </c>
      <c r="BV67" s="2" t="n">
        <v>24</v>
      </c>
      <c r="BW67" s="3" t="n">
        <v>45844</v>
      </c>
      <c r="BX67" s="2" t="n">
        <v>4</v>
      </c>
      <c r="BY67" s="2" t="n">
        <v>18</v>
      </c>
      <c r="BZ67" s="2" t="s">
        <v>117</v>
      </c>
      <c r="CA67" s="2" t="n">
        <v>-33</v>
      </c>
      <c r="CB67" s="2" t="n">
        <v>9</v>
      </c>
      <c r="CC67" s="2" t="n">
        <v>2</v>
      </c>
      <c r="CD67" s="2" t="n">
        <v>33</v>
      </c>
      <c r="CE67" s="4" t="n">
        <v>11649.97</v>
      </c>
      <c r="CF67" s="5" t="n">
        <v>50.6</v>
      </c>
      <c r="CG67" s="2" t="n">
        <v>489</v>
      </c>
      <c r="CH67" s="2" t="s">
        <v>283</v>
      </c>
      <c r="CI67" s="2" t="s">
        <v>118</v>
      </c>
      <c r="CJ67" s="2" t="n">
        <v>1</v>
      </c>
      <c r="CK67" s="2" t="n">
        <v>60</v>
      </c>
      <c r="CL67" s="4" t="n">
        <v>484.59</v>
      </c>
      <c r="CM67" s="2" t="n">
        <v>31</v>
      </c>
      <c r="CN67" s="2" t="s">
        <v>118</v>
      </c>
      <c r="CO67" s="4" t="n">
        <f aca="false">AH67*AI67</f>
        <v>1760.75</v>
      </c>
      <c r="CP67" s="4" t="n">
        <f aca="false">CO67*AJ67</f>
        <v>88.0375</v>
      </c>
      <c r="CQ67" s="4" t="n">
        <f aca="false">(CO67-CP67)*AK67</f>
        <v>133.817</v>
      </c>
      <c r="CR67" s="4" t="n">
        <f aca="false">CO67-CP67+CQ67+AL67</f>
        <v>1814.5995</v>
      </c>
      <c r="CS67" s="4" t="n">
        <f aca="false">CR67-(AP67*AH67)-AL67</f>
        <v>926.1795</v>
      </c>
      <c r="CT67" s="5" t="n">
        <f aca="false">IFERROR(CS67/CR67,0)</f>
        <v>0.510404361954249</v>
      </c>
      <c r="CU67" s="6" t="n">
        <f aca="false">IFERROR(BK67/BJ67,0)</f>
        <v>0.1154333823604</v>
      </c>
      <c r="CV67" s="2" t="n">
        <f aca="false">IF(AY67="N/A","N/A",AY67-AX67)</f>
        <v>3</v>
      </c>
    </row>
    <row r="68" customFormat="false" ht="15" hidden="false" customHeight="false" outlineLevel="0" collapsed="false">
      <c r="A68" s="2" t="s">
        <v>1300</v>
      </c>
      <c r="B68" s="2" t="s">
        <v>1301</v>
      </c>
      <c r="C68" s="2" t="s">
        <v>1302</v>
      </c>
      <c r="D68" s="2" t="s">
        <v>1303</v>
      </c>
      <c r="E68" s="2" t="s">
        <v>1304</v>
      </c>
      <c r="F68" s="2" t="s">
        <v>150</v>
      </c>
      <c r="G68" s="2" t="n">
        <v>68</v>
      </c>
      <c r="H68" s="3" t="n">
        <v>21156</v>
      </c>
      <c r="I68" s="2" t="s">
        <v>235</v>
      </c>
      <c r="J68" s="2" t="s">
        <v>236</v>
      </c>
      <c r="K68" s="2" t="s">
        <v>236</v>
      </c>
      <c r="L68" s="2" t="s">
        <v>237</v>
      </c>
      <c r="M68" s="2" t="s">
        <v>1305</v>
      </c>
      <c r="N68" s="3" t="n">
        <v>44189</v>
      </c>
      <c r="O68" s="2" t="s">
        <v>311</v>
      </c>
      <c r="P68" s="2" t="n">
        <v>576</v>
      </c>
      <c r="Q68" s="2" t="s">
        <v>1306</v>
      </c>
      <c r="R68" s="2" t="s">
        <v>113</v>
      </c>
      <c r="S68" s="2" t="s">
        <v>190</v>
      </c>
      <c r="T68" s="2" t="s">
        <v>191</v>
      </c>
      <c r="U68" s="2" t="s">
        <v>215</v>
      </c>
      <c r="V68" s="2" t="s">
        <v>118</v>
      </c>
      <c r="W68" s="2" t="s">
        <v>117</v>
      </c>
      <c r="X68" s="2" t="s">
        <v>1307</v>
      </c>
      <c r="Y68" s="3" t="n">
        <v>45603</v>
      </c>
      <c r="Z68" s="2" t="s">
        <v>1308</v>
      </c>
      <c r="AA68" s="2" t="s">
        <v>161</v>
      </c>
      <c r="AB68" s="2" t="s">
        <v>122</v>
      </c>
      <c r="AC68" s="2" t="s">
        <v>1309</v>
      </c>
      <c r="AD68" s="2" t="s">
        <v>416</v>
      </c>
      <c r="AE68" s="2" t="s">
        <v>345</v>
      </c>
      <c r="AF68" s="2" t="s">
        <v>1310</v>
      </c>
      <c r="AG68" s="2" t="s">
        <v>436</v>
      </c>
      <c r="AH68" s="2" t="n">
        <v>1</v>
      </c>
      <c r="AI68" s="4" t="n">
        <v>1313.55</v>
      </c>
      <c r="AJ68" s="5" t="n">
        <v>0.2</v>
      </c>
      <c r="AK68" s="5" t="n">
        <v>0.08</v>
      </c>
      <c r="AL68" s="4" t="n">
        <v>14.08</v>
      </c>
      <c r="AM68" s="2" t="s">
        <v>168</v>
      </c>
      <c r="AN68" s="2" t="s">
        <v>129</v>
      </c>
      <c r="AO68" s="2" t="s">
        <v>222</v>
      </c>
      <c r="AP68" s="4" t="n">
        <v>788.13</v>
      </c>
      <c r="AQ68" s="2" t="s">
        <v>1311</v>
      </c>
      <c r="AR68" s="2" t="s">
        <v>1312</v>
      </c>
      <c r="AS68" s="2" t="s">
        <v>236</v>
      </c>
      <c r="AT68" s="2" t="s">
        <v>235</v>
      </c>
      <c r="AU68" s="2" t="s">
        <v>322</v>
      </c>
      <c r="AV68" s="2" t="s">
        <v>201</v>
      </c>
      <c r="AW68" s="2" t="s">
        <v>1313</v>
      </c>
      <c r="AX68" s="3" t="n">
        <v>45608</v>
      </c>
      <c r="AY68" s="3" t="n">
        <v>45609</v>
      </c>
      <c r="AZ68" s="2" t="s">
        <v>136</v>
      </c>
      <c r="BA68" s="2" t="s">
        <v>118</v>
      </c>
      <c r="BB68" s="2" t="s">
        <v>113</v>
      </c>
      <c r="BC68" s="2" t="s">
        <v>113</v>
      </c>
      <c r="BD68" s="2" t="s">
        <v>118</v>
      </c>
      <c r="BE68" s="2" t="s">
        <v>113</v>
      </c>
      <c r="BF68" s="2" t="s">
        <v>280</v>
      </c>
      <c r="BG68" s="2" t="s">
        <v>1314</v>
      </c>
      <c r="BH68" s="2" t="s">
        <v>1315</v>
      </c>
      <c r="BI68" s="4" t="n">
        <v>491.56</v>
      </c>
      <c r="BJ68" s="2" t="n">
        <v>5962</v>
      </c>
      <c r="BK68" s="2" t="n">
        <v>576</v>
      </c>
      <c r="BL68" s="2" t="s">
        <v>113</v>
      </c>
      <c r="BM68" s="2" t="s">
        <v>118</v>
      </c>
      <c r="BN68" s="2" t="s">
        <v>141</v>
      </c>
      <c r="BO68" s="2" t="s">
        <v>178</v>
      </c>
      <c r="BP68" s="2" t="s">
        <v>259</v>
      </c>
      <c r="BQ68" s="2" t="n">
        <v>44.7</v>
      </c>
      <c r="BR68" s="2" t="n">
        <v>20</v>
      </c>
      <c r="BS68" s="2" t="s">
        <v>117</v>
      </c>
      <c r="BT68" s="2" t="n">
        <v>7</v>
      </c>
      <c r="BU68" s="2" t="n">
        <v>7.2</v>
      </c>
      <c r="BV68" s="2" t="n">
        <v>21</v>
      </c>
      <c r="BW68" s="3" t="n">
        <v>45614</v>
      </c>
      <c r="BX68" s="2" t="n">
        <v>4</v>
      </c>
      <c r="BY68" s="2" t="n">
        <v>70</v>
      </c>
      <c r="BZ68" s="2" t="s">
        <v>118</v>
      </c>
      <c r="CA68" s="2" t="n">
        <v>17</v>
      </c>
      <c r="CB68" s="2" t="n">
        <v>7</v>
      </c>
      <c r="CC68" s="2" t="n">
        <v>0</v>
      </c>
      <c r="CD68" s="2" t="n">
        <v>0</v>
      </c>
      <c r="CE68" s="4" t="n">
        <v>2543.8</v>
      </c>
      <c r="CF68" s="5" t="n">
        <v>18</v>
      </c>
      <c r="CG68" s="2" t="n">
        <v>711</v>
      </c>
      <c r="CH68" s="2" t="s">
        <v>144</v>
      </c>
      <c r="CI68" s="2" t="s">
        <v>117</v>
      </c>
      <c r="CJ68" s="2" t="n">
        <v>9</v>
      </c>
      <c r="CK68" s="2" t="n">
        <v>20</v>
      </c>
      <c r="CL68" s="4" t="n">
        <v>74.69</v>
      </c>
      <c r="CM68" s="2" t="n">
        <v>235</v>
      </c>
      <c r="CN68" s="2" t="s">
        <v>118</v>
      </c>
      <c r="CO68" s="4" t="n">
        <f aca="false">AH68*AI68</f>
        <v>1313.55</v>
      </c>
      <c r="CP68" s="4" t="n">
        <f aca="false">CO68*AJ68</f>
        <v>262.71</v>
      </c>
      <c r="CQ68" s="4" t="n">
        <f aca="false">(CO68-CP68)*AK68</f>
        <v>84.0672</v>
      </c>
      <c r="CR68" s="4" t="n">
        <f aca="false">CO68-CP68+CQ68+AL68</f>
        <v>1148.9872</v>
      </c>
      <c r="CS68" s="4" t="n">
        <f aca="false">CR68-(AP68*AH68)-AL68</f>
        <v>346.7772</v>
      </c>
      <c r="CT68" s="5" t="n">
        <f aca="false">IFERROR(CS68/CR68,0)</f>
        <v>0.30181119511166</v>
      </c>
      <c r="CU68" s="6" t="n">
        <f aca="false">IFERROR(BK68/BJ68,0)</f>
        <v>0.0966118752096612</v>
      </c>
      <c r="CV68" s="2" t="n">
        <f aca="false">IF(AY68="N/A","N/A",AY68-AX68)</f>
        <v>1</v>
      </c>
    </row>
    <row r="69" customFormat="false" ht="15" hidden="false" customHeight="false" outlineLevel="0" collapsed="false">
      <c r="A69" s="2" t="s">
        <v>1188</v>
      </c>
      <c r="B69" s="2" t="s">
        <v>1316</v>
      </c>
      <c r="C69" s="2" t="s">
        <v>1198</v>
      </c>
      <c r="D69" s="2" t="s">
        <v>1317</v>
      </c>
      <c r="E69" s="2" t="s">
        <v>1318</v>
      </c>
      <c r="F69" s="2" t="s">
        <v>150</v>
      </c>
      <c r="G69" s="2" t="n">
        <v>74</v>
      </c>
      <c r="H69" s="3" t="n">
        <v>18909</v>
      </c>
      <c r="I69" s="2" t="s">
        <v>106</v>
      </c>
      <c r="J69" s="2" t="s">
        <v>107</v>
      </c>
      <c r="K69" s="2" t="s">
        <v>108</v>
      </c>
      <c r="L69" s="2" t="s">
        <v>109</v>
      </c>
      <c r="M69" s="2" t="s">
        <v>1319</v>
      </c>
      <c r="N69" s="3" t="n">
        <v>44150</v>
      </c>
      <c r="O69" s="2" t="s">
        <v>111</v>
      </c>
      <c r="P69" s="2" t="n">
        <v>752</v>
      </c>
      <c r="Q69" s="2" t="s">
        <v>1320</v>
      </c>
      <c r="R69" s="2" t="s">
        <v>1321</v>
      </c>
      <c r="S69" s="2" t="s">
        <v>114</v>
      </c>
      <c r="T69" s="2" t="s">
        <v>157</v>
      </c>
      <c r="U69" s="2" t="s">
        <v>222</v>
      </c>
      <c r="V69" s="2" t="s">
        <v>118</v>
      </c>
      <c r="W69" s="2" t="s">
        <v>117</v>
      </c>
      <c r="X69" s="2" t="s">
        <v>1322</v>
      </c>
      <c r="Y69" s="3" t="n">
        <v>45876</v>
      </c>
      <c r="Z69" s="2" t="s">
        <v>1323</v>
      </c>
      <c r="AA69" s="2" t="s">
        <v>414</v>
      </c>
      <c r="AB69" s="2" t="s">
        <v>342</v>
      </c>
      <c r="AC69" s="2" t="s">
        <v>1324</v>
      </c>
      <c r="AD69" s="2" t="s">
        <v>294</v>
      </c>
      <c r="AE69" s="2" t="s">
        <v>295</v>
      </c>
      <c r="AF69" s="2" t="s">
        <v>897</v>
      </c>
      <c r="AG69" s="2" t="s">
        <v>297</v>
      </c>
      <c r="AH69" s="2" t="n">
        <v>3</v>
      </c>
      <c r="AI69" s="4" t="n">
        <v>72.4</v>
      </c>
      <c r="AJ69" s="5" t="n">
        <v>0</v>
      </c>
      <c r="AK69" s="5" t="n">
        <v>0.08</v>
      </c>
      <c r="AL69" s="4" t="n">
        <v>2.25</v>
      </c>
      <c r="AM69" s="2" t="s">
        <v>198</v>
      </c>
      <c r="AN69" s="2" t="s">
        <v>129</v>
      </c>
      <c r="AO69" s="2" t="s">
        <v>116</v>
      </c>
      <c r="AP69" s="4" t="n">
        <v>28.96</v>
      </c>
      <c r="AQ69" s="2" t="s">
        <v>1325</v>
      </c>
      <c r="AR69" s="2" t="s">
        <v>1326</v>
      </c>
      <c r="AS69" s="2" t="s">
        <v>108</v>
      </c>
      <c r="AT69" s="2" t="s">
        <v>106</v>
      </c>
      <c r="AU69" s="2" t="s">
        <v>322</v>
      </c>
      <c r="AV69" s="2" t="s">
        <v>351</v>
      </c>
      <c r="AW69" s="2" t="s">
        <v>1327</v>
      </c>
      <c r="AX69" s="3" t="n">
        <v>45885</v>
      </c>
      <c r="AY69" s="2" t="s">
        <v>113</v>
      </c>
      <c r="AZ69" s="2" t="s">
        <v>301</v>
      </c>
      <c r="BA69" s="2" t="s">
        <v>118</v>
      </c>
      <c r="BB69" s="2" t="s">
        <v>113</v>
      </c>
      <c r="BC69" s="2" t="s">
        <v>113</v>
      </c>
      <c r="BD69" s="2" t="s">
        <v>118</v>
      </c>
      <c r="BE69" s="2" t="s">
        <v>113</v>
      </c>
      <c r="BF69" s="2" t="s">
        <v>440</v>
      </c>
      <c r="BG69" s="2" t="s">
        <v>1110</v>
      </c>
      <c r="BH69" s="2" t="s">
        <v>1328</v>
      </c>
      <c r="BI69" s="4" t="n">
        <v>134.97</v>
      </c>
      <c r="BJ69" s="2" t="n">
        <v>18983</v>
      </c>
      <c r="BK69" s="2" t="n">
        <v>1567</v>
      </c>
      <c r="BL69" s="2" t="s">
        <v>1329</v>
      </c>
      <c r="BM69" s="2" t="s">
        <v>118</v>
      </c>
      <c r="BN69" s="2" t="s">
        <v>177</v>
      </c>
      <c r="BO69" s="2" t="s">
        <v>142</v>
      </c>
      <c r="BP69" s="2" t="s">
        <v>357</v>
      </c>
      <c r="BQ69" s="2" t="n">
        <v>6.3</v>
      </c>
      <c r="BR69" s="2" t="n">
        <v>9</v>
      </c>
      <c r="BS69" s="2" t="s">
        <v>118</v>
      </c>
      <c r="BT69" s="2" t="n">
        <v>6</v>
      </c>
      <c r="BU69" s="2" t="n">
        <v>15.1</v>
      </c>
      <c r="BV69" s="2" t="n">
        <v>42</v>
      </c>
      <c r="BW69" s="3" t="n">
        <v>46022</v>
      </c>
      <c r="BX69" s="2" t="n">
        <v>5</v>
      </c>
      <c r="BY69" s="2" t="n">
        <v>50</v>
      </c>
      <c r="BZ69" s="2" t="s">
        <v>118</v>
      </c>
      <c r="CA69" s="2" t="n">
        <v>11</v>
      </c>
      <c r="CB69" s="2" t="n">
        <v>7</v>
      </c>
      <c r="CC69" s="2" t="n">
        <v>0</v>
      </c>
      <c r="CD69" s="2" t="n">
        <v>0</v>
      </c>
      <c r="CE69" s="4" t="n">
        <v>13053.31</v>
      </c>
      <c r="CF69" s="5" t="n">
        <v>22.7</v>
      </c>
      <c r="CG69" s="2" t="n">
        <v>311</v>
      </c>
      <c r="CH69" s="2" t="s">
        <v>144</v>
      </c>
      <c r="CI69" s="2" t="s">
        <v>117</v>
      </c>
      <c r="CJ69" s="2" t="n">
        <v>3</v>
      </c>
      <c r="CK69" s="2" t="n">
        <v>10</v>
      </c>
      <c r="CL69" s="4" t="n">
        <v>174.43</v>
      </c>
      <c r="CM69" s="2" t="n">
        <v>220</v>
      </c>
      <c r="CN69" s="2" t="s">
        <v>118</v>
      </c>
      <c r="CO69" s="4" t="n">
        <f aca="false">AH69*AI69</f>
        <v>217.2</v>
      </c>
      <c r="CP69" s="4" t="n">
        <f aca="false">CO69*AJ69</f>
        <v>0</v>
      </c>
      <c r="CQ69" s="4" t="n">
        <f aca="false">(CO69-CP69)*AK69</f>
        <v>17.376</v>
      </c>
      <c r="CR69" s="4" t="n">
        <f aca="false">CO69-CP69+CQ69+AL69</f>
        <v>236.826</v>
      </c>
      <c r="CS69" s="4" t="n">
        <f aca="false">CR69-(AP69*AH69)-AL69</f>
        <v>147.696</v>
      </c>
      <c r="CT69" s="5" t="n">
        <f aca="false">IFERROR(CS69/CR69,0)</f>
        <v>0.623647741379747</v>
      </c>
      <c r="CU69" s="6" t="n">
        <f aca="false">IFERROR(BK69/BJ69,0)</f>
        <v>0.0825475425380604</v>
      </c>
      <c r="CV69" s="2" t="str">
        <f aca="false">IF(AY69="N/A","N/A",AY69-AX69)</f>
        <v>N/A</v>
      </c>
    </row>
    <row r="70" customFormat="false" ht="15" hidden="false" customHeight="false" outlineLevel="0" collapsed="false">
      <c r="A70" s="2" t="s">
        <v>1321</v>
      </c>
      <c r="B70" s="2" t="s">
        <v>904</v>
      </c>
      <c r="C70" s="2" t="s">
        <v>1330</v>
      </c>
      <c r="D70" s="2" t="s">
        <v>1331</v>
      </c>
      <c r="E70" s="2" t="s">
        <v>1332</v>
      </c>
      <c r="F70" s="2" t="s">
        <v>105</v>
      </c>
      <c r="G70" s="2" t="n">
        <v>60</v>
      </c>
      <c r="H70" s="3" t="n">
        <v>23937</v>
      </c>
      <c r="I70" s="2" t="s">
        <v>526</v>
      </c>
      <c r="J70" s="2" t="s">
        <v>700</v>
      </c>
      <c r="K70" s="2" t="s">
        <v>701</v>
      </c>
      <c r="L70" s="2" t="s">
        <v>702</v>
      </c>
      <c r="M70" s="2" t="s">
        <v>1333</v>
      </c>
      <c r="N70" s="3" t="n">
        <v>44527</v>
      </c>
      <c r="O70" s="2" t="s">
        <v>155</v>
      </c>
      <c r="P70" s="2" t="n">
        <v>2822</v>
      </c>
      <c r="Q70" s="2" t="s">
        <v>1334</v>
      </c>
      <c r="R70" s="2" t="s">
        <v>113</v>
      </c>
      <c r="S70" s="2" t="s">
        <v>114</v>
      </c>
      <c r="T70" s="2" t="s">
        <v>191</v>
      </c>
      <c r="U70" s="2" t="s">
        <v>222</v>
      </c>
      <c r="V70" s="2" t="s">
        <v>118</v>
      </c>
      <c r="W70" s="2" t="s">
        <v>117</v>
      </c>
      <c r="X70" s="2" t="s">
        <v>1335</v>
      </c>
      <c r="Y70" s="3" t="n">
        <v>45900</v>
      </c>
      <c r="Z70" s="2" t="s">
        <v>1336</v>
      </c>
      <c r="AA70" s="2" t="s">
        <v>161</v>
      </c>
      <c r="AB70" s="2" t="s">
        <v>162</v>
      </c>
      <c r="AC70" s="2" t="s">
        <v>1337</v>
      </c>
      <c r="AD70" s="2" t="s">
        <v>220</v>
      </c>
      <c r="AE70" s="2" t="s">
        <v>165</v>
      </c>
      <c r="AF70" s="2" t="s">
        <v>974</v>
      </c>
      <c r="AG70" s="2" t="s">
        <v>975</v>
      </c>
      <c r="AH70" s="2" t="n">
        <v>3</v>
      </c>
      <c r="AI70" s="4" t="n">
        <v>312.72</v>
      </c>
      <c r="AJ70" s="5" t="n">
        <v>0.25</v>
      </c>
      <c r="AK70" s="5" t="n">
        <v>0.08</v>
      </c>
      <c r="AL70" s="4" t="n">
        <v>14.58</v>
      </c>
      <c r="AM70" s="2" t="s">
        <v>128</v>
      </c>
      <c r="AN70" s="2" t="s">
        <v>129</v>
      </c>
      <c r="AO70" s="2" t="s">
        <v>215</v>
      </c>
      <c r="AP70" s="4" t="n">
        <v>156.36</v>
      </c>
      <c r="AQ70" s="2" t="s">
        <v>1338</v>
      </c>
      <c r="AR70" s="2" t="s">
        <v>1339</v>
      </c>
      <c r="AS70" s="2" t="s">
        <v>701</v>
      </c>
      <c r="AT70" s="2" t="s">
        <v>526</v>
      </c>
      <c r="AU70" s="2" t="s">
        <v>322</v>
      </c>
      <c r="AV70" s="2" t="s">
        <v>134</v>
      </c>
      <c r="AW70" s="2" t="s">
        <v>1340</v>
      </c>
      <c r="AX70" s="3" t="n">
        <v>45904</v>
      </c>
      <c r="AY70" s="3" t="n">
        <v>45909</v>
      </c>
      <c r="AZ70" s="2" t="s">
        <v>203</v>
      </c>
      <c r="BA70" s="2" t="s">
        <v>118</v>
      </c>
      <c r="BB70" s="2" t="s">
        <v>113</v>
      </c>
      <c r="BC70" s="2" t="s">
        <v>113</v>
      </c>
      <c r="BD70" s="2" t="s">
        <v>118</v>
      </c>
      <c r="BE70" s="2" t="s">
        <v>113</v>
      </c>
      <c r="BF70" s="2" t="s">
        <v>353</v>
      </c>
      <c r="BG70" s="2" t="s">
        <v>501</v>
      </c>
      <c r="BH70" s="2" t="s">
        <v>1341</v>
      </c>
      <c r="BI70" s="4" t="n">
        <v>329.11</v>
      </c>
      <c r="BJ70" s="2" t="n">
        <v>6643</v>
      </c>
      <c r="BK70" s="2" t="n">
        <v>706</v>
      </c>
      <c r="BL70" s="2" t="s">
        <v>1342</v>
      </c>
      <c r="BM70" s="2" t="s">
        <v>118</v>
      </c>
      <c r="BN70" s="2" t="s">
        <v>177</v>
      </c>
      <c r="BO70" s="2" t="s">
        <v>178</v>
      </c>
      <c r="BP70" s="2" t="s">
        <v>143</v>
      </c>
      <c r="BQ70" s="2" t="n">
        <v>30</v>
      </c>
      <c r="BR70" s="2" t="n">
        <v>24</v>
      </c>
      <c r="BS70" s="2" t="s">
        <v>118</v>
      </c>
      <c r="BT70" s="2" t="n">
        <v>0</v>
      </c>
      <c r="BU70" s="2" t="n">
        <v>9.5</v>
      </c>
      <c r="BV70" s="2" t="n">
        <v>57</v>
      </c>
      <c r="BW70" s="3" t="n">
        <v>45983</v>
      </c>
      <c r="BX70" s="2" t="n">
        <v>5</v>
      </c>
      <c r="BY70" s="2" t="n">
        <v>98</v>
      </c>
      <c r="BZ70" s="2" t="s">
        <v>117</v>
      </c>
      <c r="CA70" s="2" t="n">
        <v>-38</v>
      </c>
      <c r="CB70" s="2" t="n">
        <v>10</v>
      </c>
      <c r="CC70" s="2" t="n">
        <v>1</v>
      </c>
      <c r="CD70" s="2" t="n">
        <v>62.6</v>
      </c>
      <c r="CE70" s="4" t="n">
        <v>12311</v>
      </c>
      <c r="CF70" s="5" t="n">
        <v>1.4</v>
      </c>
      <c r="CG70" s="2" t="n">
        <v>413</v>
      </c>
      <c r="CH70" s="2" t="s">
        <v>329</v>
      </c>
      <c r="CI70" s="2" t="s">
        <v>117</v>
      </c>
      <c r="CJ70" s="2" t="n">
        <v>1</v>
      </c>
      <c r="CK70" s="2" t="n">
        <v>41</v>
      </c>
      <c r="CL70" s="4" t="n">
        <v>301.1</v>
      </c>
      <c r="CM70" s="2" t="n">
        <v>305</v>
      </c>
      <c r="CN70" s="2" t="s">
        <v>118</v>
      </c>
      <c r="CO70" s="4" t="n">
        <f aca="false">AH70*AI70</f>
        <v>938.16</v>
      </c>
      <c r="CP70" s="4" t="n">
        <f aca="false">CO70*AJ70</f>
        <v>234.54</v>
      </c>
      <c r="CQ70" s="4" t="n">
        <f aca="false">(CO70-CP70)*AK70</f>
        <v>56.2896</v>
      </c>
      <c r="CR70" s="4" t="n">
        <f aca="false">CO70-CP70+CQ70+AL70</f>
        <v>774.4896</v>
      </c>
      <c r="CS70" s="4" t="n">
        <f aca="false">CR70-(AP70*AH70)-AL70</f>
        <v>290.8296</v>
      </c>
      <c r="CT70" s="5" t="n">
        <f aca="false">IFERROR(CS70/CR70,0)</f>
        <v>0.375511304477168</v>
      </c>
      <c r="CU70" s="6" t="n">
        <f aca="false">IFERROR(BK70/BJ70,0)</f>
        <v>0.106277284359476</v>
      </c>
      <c r="CV70" s="2" t="n">
        <f aca="false">IF(AY70="N/A","N/A",AY70-AX70)</f>
        <v>5</v>
      </c>
    </row>
    <row r="71" customFormat="false" ht="15" hidden="false" customHeight="false" outlineLevel="0" collapsed="false">
      <c r="A71" s="2" t="s">
        <v>705</v>
      </c>
      <c r="B71" s="2" t="s">
        <v>1343</v>
      </c>
      <c r="C71" s="2" t="s">
        <v>1344</v>
      </c>
      <c r="D71" s="2" t="s">
        <v>1345</v>
      </c>
      <c r="E71" s="2" t="s">
        <v>1346</v>
      </c>
      <c r="F71" s="2" t="s">
        <v>184</v>
      </c>
      <c r="G71" s="2" t="n">
        <v>47</v>
      </c>
      <c r="H71" s="3" t="n">
        <v>28756</v>
      </c>
      <c r="I71" s="2" t="s">
        <v>265</v>
      </c>
      <c r="J71" s="2" t="s">
        <v>266</v>
      </c>
      <c r="K71" s="2" t="s">
        <v>267</v>
      </c>
      <c r="L71" s="2" t="s">
        <v>268</v>
      </c>
      <c r="M71" s="2" t="s">
        <v>1347</v>
      </c>
      <c r="N71" s="3" t="n">
        <v>43263</v>
      </c>
      <c r="O71" s="2" t="s">
        <v>155</v>
      </c>
      <c r="P71" s="2" t="n">
        <v>4336</v>
      </c>
      <c r="Q71" s="2" t="s">
        <v>1348</v>
      </c>
      <c r="R71" s="2" t="s">
        <v>113</v>
      </c>
      <c r="S71" s="2" t="s">
        <v>114</v>
      </c>
      <c r="T71" s="2" t="s">
        <v>551</v>
      </c>
      <c r="U71" s="2" t="s">
        <v>215</v>
      </c>
      <c r="V71" s="2" t="s">
        <v>118</v>
      </c>
      <c r="W71" s="2" t="s">
        <v>117</v>
      </c>
      <c r="X71" s="2" t="s">
        <v>1349</v>
      </c>
      <c r="Y71" s="3" t="n">
        <v>45604</v>
      </c>
      <c r="Z71" s="2" t="s">
        <v>1350</v>
      </c>
      <c r="AA71" s="2" t="s">
        <v>161</v>
      </c>
      <c r="AB71" s="2" t="s">
        <v>218</v>
      </c>
      <c r="AC71" s="2" t="s">
        <v>1351</v>
      </c>
      <c r="AD71" s="2" t="s">
        <v>370</v>
      </c>
      <c r="AE71" s="2" t="s">
        <v>317</v>
      </c>
      <c r="AF71" s="2" t="s">
        <v>318</v>
      </c>
      <c r="AG71" s="2" t="s">
        <v>610</v>
      </c>
      <c r="AH71" s="2" t="n">
        <v>1</v>
      </c>
      <c r="AI71" s="4" t="n">
        <v>235.21</v>
      </c>
      <c r="AJ71" s="5" t="n">
        <v>0.15</v>
      </c>
      <c r="AK71" s="5" t="n">
        <v>0.08</v>
      </c>
      <c r="AL71" s="4" t="n">
        <v>17.1</v>
      </c>
      <c r="AM71" s="2" t="s">
        <v>168</v>
      </c>
      <c r="AN71" s="2" t="s">
        <v>248</v>
      </c>
      <c r="AO71" s="2" t="s">
        <v>215</v>
      </c>
      <c r="AP71" s="4" t="n">
        <v>117.61</v>
      </c>
      <c r="AQ71" s="2" t="s">
        <v>1352</v>
      </c>
      <c r="AR71" s="2" t="s">
        <v>1353</v>
      </c>
      <c r="AS71" s="2" t="s">
        <v>267</v>
      </c>
      <c r="AT71" s="2" t="s">
        <v>265</v>
      </c>
      <c r="AU71" s="2" t="s">
        <v>251</v>
      </c>
      <c r="AV71" s="2" t="s">
        <v>201</v>
      </c>
      <c r="AW71" s="2" t="s">
        <v>1354</v>
      </c>
      <c r="AX71" s="3" t="n">
        <v>45611</v>
      </c>
      <c r="AY71" s="3" t="n">
        <v>45613</v>
      </c>
      <c r="AZ71" s="2" t="s">
        <v>175</v>
      </c>
      <c r="BA71" s="2" t="s">
        <v>118</v>
      </c>
      <c r="BB71" s="2" t="s">
        <v>113</v>
      </c>
      <c r="BC71" s="2" t="s">
        <v>113</v>
      </c>
      <c r="BD71" s="2" t="s">
        <v>118</v>
      </c>
      <c r="BE71" s="2" t="s">
        <v>113</v>
      </c>
      <c r="BF71" s="2" t="s">
        <v>324</v>
      </c>
      <c r="BG71" s="2" t="s">
        <v>731</v>
      </c>
      <c r="BH71" s="2" t="s">
        <v>1355</v>
      </c>
      <c r="BI71" s="4" t="n">
        <v>162.16</v>
      </c>
      <c r="BJ71" s="2" t="n">
        <v>16525</v>
      </c>
      <c r="BK71" s="2" t="n">
        <v>1134</v>
      </c>
      <c r="BL71" s="2" t="s">
        <v>113</v>
      </c>
      <c r="BM71" s="2" t="s">
        <v>118</v>
      </c>
      <c r="BN71" s="2" t="s">
        <v>141</v>
      </c>
      <c r="BO71" s="2" t="s">
        <v>142</v>
      </c>
      <c r="BP71" s="2" t="s">
        <v>823</v>
      </c>
      <c r="BQ71" s="2" t="n">
        <v>5.8</v>
      </c>
      <c r="BR71" s="2" t="n">
        <v>21</v>
      </c>
      <c r="BS71" s="2" t="s">
        <v>118</v>
      </c>
      <c r="BT71" s="2" t="n">
        <v>4</v>
      </c>
      <c r="BU71" s="2" t="n">
        <v>22.1</v>
      </c>
      <c r="BV71" s="2" t="n">
        <v>49</v>
      </c>
      <c r="BW71" s="3" t="n">
        <v>45767</v>
      </c>
      <c r="BX71" s="2" t="n">
        <v>5</v>
      </c>
      <c r="BY71" s="2" t="n">
        <v>105</v>
      </c>
      <c r="BZ71" s="2" t="s">
        <v>118</v>
      </c>
      <c r="CA71" s="2" t="n">
        <v>-93</v>
      </c>
      <c r="CB71" s="2" t="n">
        <v>9</v>
      </c>
      <c r="CC71" s="2" t="n">
        <v>2</v>
      </c>
      <c r="CD71" s="2" t="n">
        <v>16.6</v>
      </c>
      <c r="CE71" s="4" t="n">
        <v>5159.7</v>
      </c>
      <c r="CF71" s="5" t="n">
        <v>39.3</v>
      </c>
      <c r="CG71" s="2" t="n">
        <v>440</v>
      </c>
      <c r="CH71" s="2" t="s">
        <v>329</v>
      </c>
      <c r="CI71" s="2" t="s">
        <v>117</v>
      </c>
      <c r="CJ71" s="2" t="n">
        <v>10</v>
      </c>
      <c r="CK71" s="2" t="n">
        <v>36</v>
      </c>
      <c r="CL71" s="4" t="n">
        <v>108.14</v>
      </c>
      <c r="CM71" s="2" t="n">
        <v>96</v>
      </c>
      <c r="CN71" s="2" t="s">
        <v>117</v>
      </c>
      <c r="CO71" s="4" t="n">
        <f aca="false">AH71*AI71</f>
        <v>235.21</v>
      </c>
      <c r="CP71" s="4" t="n">
        <f aca="false">CO71*AJ71</f>
        <v>35.2815</v>
      </c>
      <c r="CQ71" s="4" t="n">
        <f aca="false">(CO71-CP71)*AK71</f>
        <v>15.99428</v>
      </c>
      <c r="CR71" s="4" t="n">
        <f aca="false">CO71-CP71+CQ71+AL71</f>
        <v>233.02278</v>
      </c>
      <c r="CS71" s="4" t="n">
        <f aca="false">CR71-(AP71*AH71)-AL71</f>
        <v>98.31278</v>
      </c>
      <c r="CT71" s="5" t="n">
        <f aca="false">IFERROR(CS71/CR71,0)</f>
        <v>0.421902013185149</v>
      </c>
      <c r="CU71" s="6" t="n">
        <f aca="false">IFERROR(BK71/BJ71,0)</f>
        <v>0.0686232980332829</v>
      </c>
      <c r="CV71" s="2" t="n">
        <f aca="false">IF(AY71="N/A","N/A",AY71-AX71)</f>
        <v>2</v>
      </c>
    </row>
    <row r="72" customFormat="false" ht="15" hidden="false" customHeight="false" outlineLevel="0" collapsed="false">
      <c r="A72" s="2" t="s">
        <v>1356</v>
      </c>
      <c r="B72" s="2" t="s">
        <v>1343</v>
      </c>
      <c r="C72" s="2" t="s">
        <v>1212</v>
      </c>
      <c r="D72" s="2" t="s">
        <v>1357</v>
      </c>
      <c r="E72" s="2" t="s">
        <v>1358</v>
      </c>
      <c r="F72" s="2" t="s">
        <v>184</v>
      </c>
      <c r="G72" s="2" t="n">
        <v>57</v>
      </c>
      <c r="H72" s="3" t="n">
        <v>24978</v>
      </c>
      <c r="I72" s="2" t="s">
        <v>151</v>
      </c>
      <c r="J72" s="2" t="s">
        <v>152</v>
      </c>
      <c r="K72" s="2" t="s">
        <v>152</v>
      </c>
      <c r="L72" s="2" t="s">
        <v>153</v>
      </c>
      <c r="M72" s="2" t="s">
        <v>1359</v>
      </c>
      <c r="N72" s="3" t="n">
        <v>44046</v>
      </c>
      <c r="O72" s="2" t="s">
        <v>311</v>
      </c>
      <c r="P72" s="2" t="n">
        <v>1891</v>
      </c>
      <c r="Q72" s="2" t="s">
        <v>1360</v>
      </c>
      <c r="R72" s="2" t="s">
        <v>113</v>
      </c>
      <c r="S72" s="2" t="s">
        <v>190</v>
      </c>
      <c r="T72" s="2" t="s">
        <v>365</v>
      </c>
      <c r="U72" s="2" t="s">
        <v>116</v>
      </c>
      <c r="V72" s="2" t="s">
        <v>117</v>
      </c>
      <c r="W72" s="2" t="s">
        <v>117</v>
      </c>
      <c r="X72" s="2" t="s">
        <v>1361</v>
      </c>
      <c r="Y72" s="3" t="n">
        <v>45995</v>
      </c>
      <c r="Z72" s="2" t="s">
        <v>1362</v>
      </c>
      <c r="AA72" s="2" t="s">
        <v>242</v>
      </c>
      <c r="AB72" s="2" t="s">
        <v>122</v>
      </c>
      <c r="AC72" s="2" t="s">
        <v>1363</v>
      </c>
      <c r="AD72" s="2" t="s">
        <v>344</v>
      </c>
      <c r="AE72" s="2" t="s">
        <v>345</v>
      </c>
      <c r="AF72" s="2" t="s">
        <v>435</v>
      </c>
      <c r="AG72" s="2" t="s">
        <v>1364</v>
      </c>
      <c r="AH72" s="2" t="n">
        <v>2</v>
      </c>
      <c r="AI72" s="4" t="n">
        <v>919.11</v>
      </c>
      <c r="AJ72" s="5" t="n">
        <v>0.25</v>
      </c>
      <c r="AK72" s="5" t="n">
        <v>0.08</v>
      </c>
      <c r="AL72" s="4" t="n">
        <v>15.29</v>
      </c>
      <c r="AM72" s="2" t="s">
        <v>128</v>
      </c>
      <c r="AN72" s="2" t="s">
        <v>129</v>
      </c>
      <c r="AO72" s="2" t="s">
        <v>222</v>
      </c>
      <c r="AP72" s="4" t="n">
        <v>551.47</v>
      </c>
      <c r="AQ72" s="2" t="s">
        <v>1365</v>
      </c>
      <c r="AR72" s="2" t="s">
        <v>1366</v>
      </c>
      <c r="AS72" s="2" t="s">
        <v>152</v>
      </c>
      <c r="AT72" s="2" t="s">
        <v>151</v>
      </c>
      <c r="AU72" s="2" t="s">
        <v>172</v>
      </c>
      <c r="AV72" s="2" t="s">
        <v>351</v>
      </c>
      <c r="AW72" s="2" t="s">
        <v>1367</v>
      </c>
      <c r="AX72" s="3" t="n">
        <v>46002</v>
      </c>
      <c r="AY72" s="2" t="s">
        <v>113</v>
      </c>
      <c r="AZ72" s="2" t="s">
        <v>136</v>
      </c>
      <c r="BA72" s="2" t="s">
        <v>118</v>
      </c>
      <c r="BB72" s="2" t="s">
        <v>113</v>
      </c>
      <c r="BC72" s="2" t="s">
        <v>113</v>
      </c>
      <c r="BD72" s="2" t="s">
        <v>118</v>
      </c>
      <c r="BE72" s="2" t="s">
        <v>113</v>
      </c>
      <c r="BF72" s="2" t="s">
        <v>204</v>
      </c>
      <c r="BG72" s="2" t="s">
        <v>205</v>
      </c>
      <c r="BH72" s="2" t="s">
        <v>1368</v>
      </c>
      <c r="BI72" s="4" t="n">
        <v>261.76</v>
      </c>
      <c r="BJ72" s="2" t="n">
        <v>4606</v>
      </c>
      <c r="BK72" s="2" t="n">
        <v>172</v>
      </c>
      <c r="BL72" s="2" t="s">
        <v>1254</v>
      </c>
      <c r="BM72" s="2" t="s">
        <v>118</v>
      </c>
      <c r="BN72" s="2" t="s">
        <v>177</v>
      </c>
      <c r="BO72" s="2" t="s">
        <v>178</v>
      </c>
      <c r="BP72" s="2" t="s">
        <v>823</v>
      </c>
      <c r="BQ72" s="2" t="n">
        <v>23.5</v>
      </c>
      <c r="BR72" s="2" t="n">
        <v>4</v>
      </c>
      <c r="BS72" s="2" t="s">
        <v>117</v>
      </c>
      <c r="BT72" s="2" t="n">
        <v>14</v>
      </c>
      <c r="BU72" s="2" t="n">
        <v>12.5</v>
      </c>
      <c r="BV72" s="2" t="n">
        <v>20</v>
      </c>
      <c r="BW72" s="3" t="n">
        <v>46019</v>
      </c>
      <c r="BX72" s="2" t="n">
        <v>5</v>
      </c>
      <c r="BY72" s="2" t="n">
        <v>73</v>
      </c>
      <c r="BZ72" s="2" t="s">
        <v>118</v>
      </c>
      <c r="CA72" s="2" t="n">
        <v>-97</v>
      </c>
      <c r="CB72" s="2" t="n">
        <v>5</v>
      </c>
      <c r="CC72" s="2" t="n">
        <v>3</v>
      </c>
      <c r="CD72" s="2" t="n">
        <v>16.4</v>
      </c>
      <c r="CE72" s="4" t="n">
        <v>10086.52</v>
      </c>
      <c r="CF72" s="5" t="n">
        <v>20.3</v>
      </c>
      <c r="CG72" s="2" t="n">
        <v>509</v>
      </c>
      <c r="CH72" s="2" t="s">
        <v>329</v>
      </c>
      <c r="CI72" s="2" t="s">
        <v>117</v>
      </c>
      <c r="CJ72" s="2" t="n">
        <v>0</v>
      </c>
      <c r="CK72" s="2" t="n">
        <v>67</v>
      </c>
      <c r="CL72" s="4" t="n">
        <v>544.13</v>
      </c>
      <c r="CM72" s="2" t="n">
        <v>237</v>
      </c>
      <c r="CN72" s="2" t="s">
        <v>118</v>
      </c>
      <c r="CO72" s="4" t="n">
        <f aca="false">AH72*AI72</f>
        <v>1838.22</v>
      </c>
      <c r="CP72" s="4" t="n">
        <f aca="false">CO72*AJ72</f>
        <v>459.555</v>
      </c>
      <c r="CQ72" s="4" t="n">
        <f aca="false">(CO72-CP72)*AK72</f>
        <v>110.2932</v>
      </c>
      <c r="CR72" s="4" t="n">
        <f aca="false">CO72-CP72+CQ72+AL72</f>
        <v>1504.2482</v>
      </c>
      <c r="CS72" s="4" t="n">
        <f aca="false">CR72-(AP72*AH72)-AL72</f>
        <v>386.0182</v>
      </c>
      <c r="CT72" s="5" t="n">
        <f aca="false">IFERROR(CS72/CR72,0)</f>
        <v>0.256618688325504</v>
      </c>
      <c r="CU72" s="6" t="n">
        <f aca="false">IFERROR(BK72/BJ72,0)</f>
        <v>0.0373425966131133</v>
      </c>
      <c r="CV72" s="2" t="str">
        <f aca="false">IF(AY72="N/A","N/A",AY72-AX72)</f>
        <v>N/A</v>
      </c>
    </row>
    <row r="73" customFormat="false" ht="15" hidden="false" customHeight="false" outlineLevel="0" collapsed="false">
      <c r="A73" s="2" t="s">
        <v>877</v>
      </c>
      <c r="B73" s="2" t="s">
        <v>1369</v>
      </c>
      <c r="C73" s="2" t="s">
        <v>1330</v>
      </c>
      <c r="D73" s="2" t="s">
        <v>1370</v>
      </c>
      <c r="E73" s="2" t="s">
        <v>1371</v>
      </c>
      <c r="F73" s="2" t="s">
        <v>184</v>
      </c>
      <c r="G73" s="2" t="n">
        <v>50</v>
      </c>
      <c r="H73" s="3" t="n">
        <v>27431</v>
      </c>
      <c r="I73" s="2" t="s">
        <v>151</v>
      </c>
      <c r="J73" s="2" t="s">
        <v>152</v>
      </c>
      <c r="K73" s="2" t="s">
        <v>152</v>
      </c>
      <c r="L73" s="2" t="s">
        <v>153</v>
      </c>
      <c r="M73" s="2" t="s">
        <v>1372</v>
      </c>
      <c r="N73" s="3" t="n">
        <v>45339</v>
      </c>
      <c r="O73" s="2" t="s">
        <v>155</v>
      </c>
      <c r="P73" s="2" t="n">
        <v>3387</v>
      </c>
      <c r="Q73" s="2" t="s">
        <v>1373</v>
      </c>
      <c r="R73" s="2" t="s">
        <v>113</v>
      </c>
      <c r="S73" s="2" t="s">
        <v>114</v>
      </c>
      <c r="T73" s="2" t="s">
        <v>115</v>
      </c>
      <c r="U73" s="2" t="s">
        <v>158</v>
      </c>
      <c r="V73" s="2" t="s">
        <v>117</v>
      </c>
      <c r="W73" s="2" t="s">
        <v>118</v>
      </c>
      <c r="X73" s="2" t="s">
        <v>1374</v>
      </c>
      <c r="Y73" s="3" t="n">
        <v>45623</v>
      </c>
      <c r="Z73" s="2" t="s">
        <v>1375</v>
      </c>
      <c r="AA73" s="2" t="s">
        <v>161</v>
      </c>
      <c r="AB73" s="2" t="s">
        <v>162</v>
      </c>
      <c r="AC73" s="2" t="s">
        <v>1376</v>
      </c>
      <c r="AD73" s="2" t="s">
        <v>1265</v>
      </c>
      <c r="AE73" s="2" t="s">
        <v>295</v>
      </c>
      <c r="AF73" s="2" t="s">
        <v>1021</v>
      </c>
      <c r="AG73" s="2" t="s">
        <v>297</v>
      </c>
      <c r="AH73" s="2" t="n">
        <v>5</v>
      </c>
      <c r="AI73" s="4" t="n">
        <v>81.21</v>
      </c>
      <c r="AJ73" s="5" t="n">
        <v>0.05</v>
      </c>
      <c r="AK73" s="5" t="n">
        <v>0.08</v>
      </c>
      <c r="AL73" s="4" t="n">
        <v>7.7</v>
      </c>
      <c r="AM73" s="2" t="s">
        <v>128</v>
      </c>
      <c r="AN73" s="2" t="s">
        <v>475</v>
      </c>
      <c r="AO73" s="2" t="s">
        <v>116</v>
      </c>
      <c r="AP73" s="4" t="n">
        <v>32.48</v>
      </c>
      <c r="AQ73" s="2" t="s">
        <v>1377</v>
      </c>
      <c r="AR73" s="2" t="s">
        <v>1378</v>
      </c>
      <c r="AS73" s="2" t="s">
        <v>152</v>
      </c>
      <c r="AT73" s="2" t="s">
        <v>151</v>
      </c>
      <c r="AU73" s="2" t="s">
        <v>133</v>
      </c>
      <c r="AV73" s="2" t="s">
        <v>134</v>
      </c>
      <c r="AW73" s="2" t="s">
        <v>1379</v>
      </c>
      <c r="AX73" s="3" t="n">
        <v>45632</v>
      </c>
      <c r="AY73" s="3" t="n">
        <v>45631</v>
      </c>
      <c r="AZ73" s="2" t="s">
        <v>301</v>
      </c>
      <c r="BA73" s="2" t="s">
        <v>118</v>
      </c>
      <c r="BB73" s="2" t="s">
        <v>113</v>
      </c>
      <c r="BC73" s="2" t="s">
        <v>113</v>
      </c>
      <c r="BD73" s="2" t="s">
        <v>118</v>
      </c>
      <c r="BE73" s="2" t="s">
        <v>113</v>
      </c>
      <c r="BF73" s="2" t="s">
        <v>440</v>
      </c>
      <c r="BG73" s="2" t="s">
        <v>1110</v>
      </c>
      <c r="BH73" s="2" t="s">
        <v>1380</v>
      </c>
      <c r="BI73" s="4" t="n">
        <v>11.04</v>
      </c>
      <c r="BJ73" s="2" t="n">
        <v>5473</v>
      </c>
      <c r="BK73" s="2" t="n">
        <v>740</v>
      </c>
      <c r="BL73" s="2" t="s">
        <v>113</v>
      </c>
      <c r="BM73" s="2" t="s">
        <v>118</v>
      </c>
      <c r="BN73" s="2" t="s">
        <v>177</v>
      </c>
      <c r="BO73" s="2" t="s">
        <v>178</v>
      </c>
      <c r="BP73" s="2" t="s">
        <v>823</v>
      </c>
      <c r="BQ73" s="2" t="n">
        <v>36.4</v>
      </c>
      <c r="BR73" s="2" t="n">
        <v>39</v>
      </c>
      <c r="BS73" s="2" t="s">
        <v>118</v>
      </c>
      <c r="BT73" s="2" t="n">
        <v>7</v>
      </c>
      <c r="BU73" s="2" t="n">
        <v>7.3</v>
      </c>
      <c r="BV73" s="2" t="n">
        <v>43</v>
      </c>
      <c r="BW73" s="3" t="n">
        <v>45866</v>
      </c>
      <c r="BX73" s="2" t="n">
        <v>5</v>
      </c>
      <c r="BY73" s="2" t="n">
        <v>116</v>
      </c>
      <c r="BZ73" s="2" t="s">
        <v>117</v>
      </c>
      <c r="CA73" s="2" t="n">
        <v>-79</v>
      </c>
      <c r="CB73" s="2" t="n">
        <v>9</v>
      </c>
      <c r="CC73" s="2" t="n">
        <v>5</v>
      </c>
      <c r="CD73" s="2" t="n">
        <v>28</v>
      </c>
      <c r="CE73" s="4" t="n">
        <v>11876.45</v>
      </c>
      <c r="CF73" s="5" t="n">
        <v>51.2</v>
      </c>
      <c r="CG73" s="2" t="n">
        <v>463</v>
      </c>
      <c r="CH73" s="2" t="s">
        <v>283</v>
      </c>
      <c r="CI73" s="2" t="s">
        <v>118</v>
      </c>
      <c r="CJ73" s="2" t="n">
        <v>0</v>
      </c>
      <c r="CK73" s="2" t="n">
        <v>32</v>
      </c>
      <c r="CL73" s="4" t="n">
        <v>531.66</v>
      </c>
      <c r="CM73" s="2" t="n">
        <v>142</v>
      </c>
      <c r="CN73" s="2" t="s">
        <v>118</v>
      </c>
      <c r="CO73" s="4" t="n">
        <f aca="false">AH73*AI73</f>
        <v>406.05</v>
      </c>
      <c r="CP73" s="4" t="n">
        <f aca="false">CO73*AJ73</f>
        <v>20.3025</v>
      </c>
      <c r="CQ73" s="4" t="n">
        <f aca="false">(CO73-CP73)*AK73</f>
        <v>30.8598</v>
      </c>
      <c r="CR73" s="4" t="n">
        <f aca="false">CO73-CP73+CQ73+AL73</f>
        <v>424.3073</v>
      </c>
      <c r="CS73" s="4" t="n">
        <f aca="false">CR73-(AP73*AH73)-AL73</f>
        <v>254.2073</v>
      </c>
      <c r="CT73" s="5" t="n">
        <f aca="false">IFERROR(CS73/CR73,0)</f>
        <v>0.599111304472018</v>
      </c>
      <c r="CU73" s="6" t="n">
        <f aca="false">IFERROR(BK73/BJ73,0)</f>
        <v>0.135209208843413</v>
      </c>
      <c r="CV73" s="2" t="n">
        <f aca="false">IF(AY73="N/A","N/A",AY73-AX73)</f>
        <v>-1</v>
      </c>
    </row>
    <row r="74" customFormat="false" ht="15" hidden="false" customHeight="false" outlineLevel="0" collapsed="false">
      <c r="A74" s="2" t="s">
        <v>1381</v>
      </c>
      <c r="B74" s="2" t="s">
        <v>1382</v>
      </c>
      <c r="C74" s="2" t="s">
        <v>1097</v>
      </c>
      <c r="D74" s="2" t="s">
        <v>1383</v>
      </c>
      <c r="E74" s="2" t="s">
        <v>1384</v>
      </c>
      <c r="F74" s="2" t="s">
        <v>105</v>
      </c>
      <c r="G74" s="2" t="n">
        <v>29</v>
      </c>
      <c r="H74" s="3" t="n">
        <v>35126</v>
      </c>
      <c r="I74" s="2" t="s">
        <v>526</v>
      </c>
      <c r="J74" s="2" t="s">
        <v>700</v>
      </c>
      <c r="K74" s="2" t="s">
        <v>701</v>
      </c>
      <c r="L74" s="2" t="s">
        <v>702</v>
      </c>
      <c r="M74" s="2" t="s">
        <v>1385</v>
      </c>
      <c r="N74" s="3" t="n">
        <v>43251</v>
      </c>
      <c r="O74" s="2" t="s">
        <v>155</v>
      </c>
      <c r="P74" s="2" t="n">
        <v>265</v>
      </c>
      <c r="Q74" s="2" t="s">
        <v>1386</v>
      </c>
      <c r="R74" s="2" t="s">
        <v>113</v>
      </c>
      <c r="S74" s="2" t="s">
        <v>114</v>
      </c>
      <c r="T74" s="2" t="s">
        <v>191</v>
      </c>
      <c r="U74" s="2" t="s">
        <v>116</v>
      </c>
      <c r="V74" s="2" t="s">
        <v>117</v>
      </c>
      <c r="W74" s="2" t="s">
        <v>118</v>
      </c>
      <c r="X74" s="2" t="s">
        <v>1387</v>
      </c>
      <c r="Y74" s="3" t="n">
        <v>45975</v>
      </c>
      <c r="Z74" s="2" t="s">
        <v>1388</v>
      </c>
      <c r="AA74" s="2" t="s">
        <v>414</v>
      </c>
      <c r="AB74" s="2" t="s">
        <v>162</v>
      </c>
      <c r="AC74" s="2" t="s">
        <v>1389</v>
      </c>
      <c r="AD74" s="2" t="s">
        <v>1106</v>
      </c>
      <c r="AE74" s="2" t="s">
        <v>125</v>
      </c>
      <c r="AF74" s="2" t="s">
        <v>1390</v>
      </c>
      <c r="AG74" s="2" t="s">
        <v>197</v>
      </c>
      <c r="AH74" s="2" t="n">
        <v>1</v>
      </c>
      <c r="AI74" s="4" t="n">
        <v>14.96</v>
      </c>
      <c r="AJ74" s="5" t="n">
        <v>0.2</v>
      </c>
      <c r="AK74" s="5" t="n">
        <v>0.08</v>
      </c>
      <c r="AL74" s="4" t="n">
        <v>18.1</v>
      </c>
      <c r="AM74" s="2" t="s">
        <v>247</v>
      </c>
      <c r="AN74" s="2" t="s">
        <v>557</v>
      </c>
      <c r="AO74" s="2" t="s">
        <v>130</v>
      </c>
      <c r="AP74" s="4" t="n">
        <v>5.24</v>
      </c>
      <c r="AQ74" s="2" t="s">
        <v>1391</v>
      </c>
      <c r="AR74" s="2" t="s">
        <v>1392</v>
      </c>
      <c r="AS74" s="2" t="s">
        <v>701</v>
      </c>
      <c r="AT74" s="2" t="s">
        <v>526</v>
      </c>
      <c r="AU74" s="2" t="s">
        <v>172</v>
      </c>
      <c r="AV74" s="2" t="s">
        <v>375</v>
      </c>
      <c r="AW74" s="2" t="s">
        <v>1393</v>
      </c>
      <c r="AX74" s="3" t="n">
        <v>45979</v>
      </c>
      <c r="AY74" s="2" t="s">
        <v>113</v>
      </c>
      <c r="AZ74" s="2" t="s">
        <v>203</v>
      </c>
      <c r="BA74" s="2" t="s">
        <v>118</v>
      </c>
      <c r="BB74" s="2" t="s">
        <v>113</v>
      </c>
      <c r="BC74" s="2" t="s">
        <v>113</v>
      </c>
      <c r="BD74" s="2" t="s">
        <v>118</v>
      </c>
      <c r="BE74" s="2" t="s">
        <v>113</v>
      </c>
      <c r="BF74" s="2" t="s">
        <v>226</v>
      </c>
      <c r="BG74" s="2" t="s">
        <v>227</v>
      </c>
      <c r="BH74" s="2" t="s">
        <v>1394</v>
      </c>
      <c r="BI74" s="4" t="n">
        <v>262.25</v>
      </c>
      <c r="BJ74" s="2" t="n">
        <v>19595</v>
      </c>
      <c r="BK74" s="2" t="n">
        <v>2349</v>
      </c>
      <c r="BL74" s="2" t="s">
        <v>113</v>
      </c>
      <c r="BM74" s="2" t="s">
        <v>118</v>
      </c>
      <c r="BN74" s="2" t="s">
        <v>304</v>
      </c>
      <c r="BO74" s="2" t="s">
        <v>229</v>
      </c>
      <c r="BP74" s="2" t="s">
        <v>328</v>
      </c>
      <c r="BQ74" s="2" t="n">
        <v>8.5</v>
      </c>
      <c r="BR74" s="2" t="n">
        <v>40</v>
      </c>
      <c r="BS74" s="2" t="s">
        <v>117</v>
      </c>
      <c r="BT74" s="2" t="n">
        <v>9</v>
      </c>
      <c r="BU74" s="2" t="n">
        <v>29.4</v>
      </c>
      <c r="BV74" s="2" t="n">
        <v>1</v>
      </c>
      <c r="BW74" s="3" t="n">
        <v>45982</v>
      </c>
      <c r="BX74" s="2" t="n">
        <v>5</v>
      </c>
      <c r="BY74" s="2" t="n">
        <v>6</v>
      </c>
      <c r="BZ74" s="2" t="s">
        <v>118</v>
      </c>
      <c r="CA74" s="2" t="n">
        <v>-77</v>
      </c>
      <c r="CB74" s="2" t="n">
        <v>5</v>
      </c>
      <c r="CC74" s="2" t="n">
        <v>2</v>
      </c>
      <c r="CD74" s="2" t="n">
        <v>26.9</v>
      </c>
      <c r="CE74" s="4" t="n">
        <v>5715.14</v>
      </c>
      <c r="CF74" s="5" t="n">
        <v>6.8</v>
      </c>
      <c r="CG74" s="2" t="n">
        <v>737</v>
      </c>
      <c r="CH74" s="2" t="s">
        <v>283</v>
      </c>
      <c r="CI74" s="2" t="s">
        <v>118</v>
      </c>
      <c r="CJ74" s="2" t="n">
        <v>3</v>
      </c>
      <c r="CK74" s="2" t="n">
        <v>79</v>
      </c>
      <c r="CL74" s="4" t="n">
        <v>599.41</v>
      </c>
      <c r="CM74" s="2" t="n">
        <v>211</v>
      </c>
      <c r="CN74" s="2" t="s">
        <v>117</v>
      </c>
      <c r="CO74" s="4" t="n">
        <f aca="false">AH74*AI74</f>
        <v>14.96</v>
      </c>
      <c r="CP74" s="4" t="n">
        <f aca="false">CO74*AJ74</f>
        <v>2.992</v>
      </c>
      <c r="CQ74" s="4" t="n">
        <f aca="false">(CO74-CP74)*AK74</f>
        <v>0.95744</v>
      </c>
      <c r="CR74" s="4" t="n">
        <f aca="false">CO74-CP74+CQ74+AL74</f>
        <v>31.02544</v>
      </c>
      <c r="CS74" s="4" t="n">
        <f aca="false">CR74-(AP74*AH74)-AL74</f>
        <v>7.68544</v>
      </c>
      <c r="CT74" s="5" t="n">
        <f aca="false">IFERROR(CS74/CR74,0)</f>
        <v>0.24771413394943</v>
      </c>
      <c r="CU74" s="6" t="n">
        <f aca="false">IFERROR(BK74/BJ74,0)</f>
        <v>0.119877519775453</v>
      </c>
      <c r="CV74" s="2" t="str">
        <f aca="false">IF(AY74="N/A","N/A",AY74-AX74)</f>
        <v>N/A</v>
      </c>
    </row>
    <row r="75" customFormat="false" ht="15" hidden="false" customHeight="false" outlineLevel="0" collapsed="false">
      <c r="A75" s="2" t="s">
        <v>1395</v>
      </c>
      <c r="B75" s="2" t="s">
        <v>331</v>
      </c>
      <c r="C75" s="2" t="s">
        <v>1396</v>
      </c>
      <c r="D75" s="2" t="s">
        <v>1397</v>
      </c>
      <c r="E75" s="2" t="s">
        <v>1398</v>
      </c>
      <c r="F75" s="2" t="s">
        <v>184</v>
      </c>
      <c r="G75" s="2" t="n">
        <v>31</v>
      </c>
      <c r="H75" s="3" t="n">
        <v>34355</v>
      </c>
      <c r="I75" s="2" t="s">
        <v>599</v>
      </c>
      <c r="J75" s="2" t="s">
        <v>667</v>
      </c>
      <c r="K75" s="2" t="s">
        <v>668</v>
      </c>
      <c r="L75" s="2" t="s">
        <v>669</v>
      </c>
      <c r="M75" s="2" t="s">
        <v>1399</v>
      </c>
      <c r="N75" s="3" t="n">
        <v>44254</v>
      </c>
      <c r="O75" s="2" t="s">
        <v>155</v>
      </c>
      <c r="P75" s="2" t="n">
        <v>555</v>
      </c>
      <c r="Q75" s="2" t="s">
        <v>1400</v>
      </c>
      <c r="R75" s="2" t="s">
        <v>113</v>
      </c>
      <c r="S75" s="2" t="s">
        <v>114</v>
      </c>
      <c r="T75" s="2" t="s">
        <v>115</v>
      </c>
      <c r="U75" s="2" t="s">
        <v>130</v>
      </c>
      <c r="V75" s="2" t="s">
        <v>117</v>
      </c>
      <c r="W75" s="2" t="s">
        <v>117</v>
      </c>
      <c r="X75" s="2" t="s">
        <v>1401</v>
      </c>
      <c r="Y75" s="3" t="n">
        <v>45607</v>
      </c>
      <c r="Z75" s="2" t="s">
        <v>1402</v>
      </c>
      <c r="AA75" s="2" t="s">
        <v>121</v>
      </c>
      <c r="AB75" s="2" t="s">
        <v>122</v>
      </c>
      <c r="AC75" s="2" t="s">
        <v>1403</v>
      </c>
      <c r="AD75" s="2" t="s">
        <v>1404</v>
      </c>
      <c r="AE75" s="2" t="s">
        <v>317</v>
      </c>
      <c r="AF75" s="2" t="s">
        <v>1405</v>
      </c>
      <c r="AG75" s="2" t="s">
        <v>535</v>
      </c>
      <c r="AH75" s="2" t="n">
        <v>1</v>
      </c>
      <c r="AI75" s="4" t="n">
        <v>87.29</v>
      </c>
      <c r="AJ75" s="5" t="n">
        <v>0.15</v>
      </c>
      <c r="AK75" s="5" t="n">
        <v>0.08</v>
      </c>
      <c r="AL75" s="4" t="n">
        <v>1.66</v>
      </c>
      <c r="AM75" s="2" t="s">
        <v>168</v>
      </c>
      <c r="AN75" s="2" t="s">
        <v>129</v>
      </c>
      <c r="AO75" s="2" t="s">
        <v>169</v>
      </c>
      <c r="AP75" s="4" t="n">
        <v>43.65</v>
      </c>
      <c r="AQ75" s="2" t="s">
        <v>1406</v>
      </c>
      <c r="AR75" s="2" t="s">
        <v>1407</v>
      </c>
      <c r="AS75" s="2" t="s">
        <v>668</v>
      </c>
      <c r="AT75" s="2" t="s">
        <v>599</v>
      </c>
      <c r="AU75" s="2" t="s">
        <v>172</v>
      </c>
      <c r="AV75" s="2" t="s">
        <v>134</v>
      </c>
      <c r="AW75" s="2" t="s">
        <v>1408</v>
      </c>
      <c r="AX75" s="3" t="n">
        <v>45614</v>
      </c>
      <c r="AY75" s="2" t="s">
        <v>113</v>
      </c>
      <c r="AZ75" s="2" t="s">
        <v>136</v>
      </c>
      <c r="BA75" s="2" t="s">
        <v>118</v>
      </c>
      <c r="BB75" s="2" t="s">
        <v>113</v>
      </c>
      <c r="BC75" s="2" t="s">
        <v>113</v>
      </c>
      <c r="BD75" s="2" t="s">
        <v>118</v>
      </c>
      <c r="BE75" s="2" t="s">
        <v>113</v>
      </c>
      <c r="BF75" s="2" t="s">
        <v>204</v>
      </c>
      <c r="BG75" s="2" t="s">
        <v>578</v>
      </c>
      <c r="BH75" s="2" t="s">
        <v>1409</v>
      </c>
      <c r="BI75" s="4" t="n">
        <v>432.97</v>
      </c>
      <c r="BJ75" s="2" t="n">
        <v>1054</v>
      </c>
      <c r="BK75" s="2" t="n">
        <v>49</v>
      </c>
      <c r="BL75" s="2" t="s">
        <v>113</v>
      </c>
      <c r="BM75" s="2" t="s">
        <v>118</v>
      </c>
      <c r="BN75" s="2" t="s">
        <v>304</v>
      </c>
      <c r="BO75" s="2" t="s">
        <v>142</v>
      </c>
      <c r="BP75" s="2" t="s">
        <v>259</v>
      </c>
      <c r="BQ75" s="2" t="n">
        <v>14.5</v>
      </c>
      <c r="BR75" s="2" t="n">
        <v>3</v>
      </c>
      <c r="BS75" s="2" t="s">
        <v>118</v>
      </c>
      <c r="BT75" s="2" t="n">
        <v>2</v>
      </c>
      <c r="BU75" s="2" t="n">
        <v>15.4</v>
      </c>
      <c r="BV75" s="2" t="n">
        <v>16</v>
      </c>
      <c r="BW75" s="3" t="n">
        <v>45797</v>
      </c>
      <c r="BX75" s="2" t="n">
        <v>4</v>
      </c>
      <c r="BY75" s="2" t="n">
        <v>115</v>
      </c>
      <c r="BZ75" s="2" t="s">
        <v>118</v>
      </c>
      <c r="CA75" s="2" t="n">
        <v>21</v>
      </c>
      <c r="CB75" s="2" t="n">
        <v>1</v>
      </c>
      <c r="CC75" s="2" t="n">
        <v>5</v>
      </c>
      <c r="CD75" s="2" t="n">
        <v>10.2</v>
      </c>
      <c r="CE75" s="4" t="n">
        <v>2373.03</v>
      </c>
      <c r="CF75" s="5" t="n">
        <v>46.1</v>
      </c>
      <c r="CG75" s="2" t="n">
        <v>849</v>
      </c>
      <c r="CH75" s="2" t="s">
        <v>329</v>
      </c>
      <c r="CI75" s="2" t="s">
        <v>117</v>
      </c>
      <c r="CJ75" s="2" t="n">
        <v>4</v>
      </c>
      <c r="CK75" s="2" t="n">
        <v>23</v>
      </c>
      <c r="CL75" s="4" t="n">
        <v>85.09</v>
      </c>
      <c r="CM75" s="2" t="n">
        <v>19</v>
      </c>
      <c r="CN75" s="2" t="s">
        <v>118</v>
      </c>
      <c r="CO75" s="4" t="n">
        <f aca="false">AH75*AI75</f>
        <v>87.29</v>
      </c>
      <c r="CP75" s="4" t="n">
        <f aca="false">CO75*AJ75</f>
        <v>13.0935</v>
      </c>
      <c r="CQ75" s="4" t="n">
        <f aca="false">(CO75-CP75)*AK75</f>
        <v>5.93572</v>
      </c>
      <c r="CR75" s="4" t="n">
        <f aca="false">CO75-CP75+CQ75+AL75</f>
        <v>81.79222</v>
      </c>
      <c r="CS75" s="4" t="n">
        <f aca="false">CR75-(AP75*AH75)-AL75</f>
        <v>36.48222</v>
      </c>
      <c r="CT75" s="5" t="n">
        <f aca="false">IFERROR(CS75/CR75,0)</f>
        <v>0.446035331966781</v>
      </c>
      <c r="CU75" s="6" t="n">
        <f aca="false">IFERROR(BK75/BJ75,0)</f>
        <v>0.0464895635673624</v>
      </c>
      <c r="CV75" s="2" t="str">
        <f aca="false">IF(AY75="N/A","N/A",AY75-AX75)</f>
        <v>N/A</v>
      </c>
    </row>
    <row r="76" customFormat="false" ht="15" hidden="false" customHeight="false" outlineLevel="0" collapsed="false">
      <c r="A76" s="2" t="s">
        <v>1410</v>
      </c>
      <c r="B76" s="2" t="s">
        <v>1411</v>
      </c>
      <c r="C76" s="2" t="s">
        <v>1412</v>
      </c>
      <c r="D76" s="2" t="s">
        <v>1413</v>
      </c>
      <c r="E76" s="2" t="s">
        <v>1414</v>
      </c>
      <c r="F76" s="2" t="s">
        <v>184</v>
      </c>
      <c r="G76" s="2" t="n">
        <v>19</v>
      </c>
      <c r="H76" s="3" t="n">
        <v>38946</v>
      </c>
      <c r="I76" s="2" t="s">
        <v>265</v>
      </c>
      <c r="J76" s="2" t="s">
        <v>386</v>
      </c>
      <c r="K76" s="2" t="s">
        <v>387</v>
      </c>
      <c r="L76" s="2" t="s">
        <v>388</v>
      </c>
      <c r="M76" s="2" t="s">
        <v>1415</v>
      </c>
      <c r="N76" s="3" t="n">
        <v>43880</v>
      </c>
      <c r="O76" s="2" t="s">
        <v>155</v>
      </c>
      <c r="P76" s="2" t="n">
        <v>3960</v>
      </c>
      <c r="Q76" s="2" t="s">
        <v>1416</v>
      </c>
      <c r="R76" s="2" t="s">
        <v>840</v>
      </c>
      <c r="S76" s="2" t="s">
        <v>114</v>
      </c>
      <c r="T76" s="2" t="s">
        <v>157</v>
      </c>
      <c r="U76" s="2" t="s">
        <v>158</v>
      </c>
      <c r="V76" s="2" t="s">
        <v>117</v>
      </c>
      <c r="W76" s="2" t="s">
        <v>117</v>
      </c>
      <c r="X76" s="2" t="s">
        <v>1417</v>
      </c>
      <c r="Y76" s="3" t="n">
        <v>45828</v>
      </c>
      <c r="Z76" s="2" t="s">
        <v>1418</v>
      </c>
      <c r="AA76" s="2" t="s">
        <v>161</v>
      </c>
      <c r="AB76" s="2" t="s">
        <v>162</v>
      </c>
      <c r="AC76" s="2" t="s">
        <v>1419</v>
      </c>
      <c r="AD76" s="2" t="s">
        <v>608</v>
      </c>
      <c r="AE76" s="2" t="s">
        <v>317</v>
      </c>
      <c r="AF76" s="2" t="s">
        <v>1420</v>
      </c>
      <c r="AG76" s="2" t="s">
        <v>319</v>
      </c>
      <c r="AH76" s="2" t="n">
        <v>5</v>
      </c>
      <c r="AI76" s="4" t="n">
        <v>444.72</v>
      </c>
      <c r="AJ76" s="5" t="n">
        <v>0</v>
      </c>
      <c r="AK76" s="5" t="n">
        <v>0.08</v>
      </c>
      <c r="AL76" s="4" t="n">
        <v>23.96</v>
      </c>
      <c r="AM76" s="2" t="s">
        <v>247</v>
      </c>
      <c r="AN76" s="2" t="s">
        <v>129</v>
      </c>
      <c r="AO76" s="2" t="s">
        <v>271</v>
      </c>
      <c r="AP76" s="4" t="n">
        <v>222.36</v>
      </c>
      <c r="AQ76" s="2" t="s">
        <v>1421</v>
      </c>
      <c r="AR76" s="2" t="s">
        <v>1422</v>
      </c>
      <c r="AS76" s="2" t="s">
        <v>387</v>
      </c>
      <c r="AT76" s="2" t="s">
        <v>265</v>
      </c>
      <c r="AU76" s="2" t="s">
        <v>172</v>
      </c>
      <c r="AV76" s="2" t="s">
        <v>375</v>
      </c>
      <c r="AW76" s="2" t="s">
        <v>1423</v>
      </c>
      <c r="AX76" s="3" t="n">
        <v>45833</v>
      </c>
      <c r="AY76" s="3" t="n">
        <v>45831</v>
      </c>
      <c r="AZ76" s="2" t="s">
        <v>175</v>
      </c>
      <c r="BA76" s="2" t="s">
        <v>118</v>
      </c>
      <c r="BB76" s="2" t="s">
        <v>113</v>
      </c>
      <c r="BC76" s="2" t="s">
        <v>113</v>
      </c>
      <c r="BD76" s="2" t="s">
        <v>118</v>
      </c>
      <c r="BE76" s="2" t="s">
        <v>113</v>
      </c>
      <c r="BF76" s="2" t="s">
        <v>324</v>
      </c>
      <c r="BG76" s="2" t="s">
        <v>1424</v>
      </c>
      <c r="BH76" s="2" t="s">
        <v>1425</v>
      </c>
      <c r="BI76" s="4" t="n">
        <v>89.78</v>
      </c>
      <c r="BJ76" s="2" t="n">
        <v>17216</v>
      </c>
      <c r="BK76" s="2" t="n">
        <v>479</v>
      </c>
      <c r="BL76" s="2" t="s">
        <v>1426</v>
      </c>
      <c r="BM76" s="2" t="s">
        <v>118</v>
      </c>
      <c r="BN76" s="2" t="s">
        <v>304</v>
      </c>
      <c r="BO76" s="2" t="s">
        <v>178</v>
      </c>
      <c r="BP76" s="2" t="s">
        <v>259</v>
      </c>
      <c r="BQ76" s="2" t="n">
        <v>2.8</v>
      </c>
      <c r="BR76" s="2" t="n">
        <v>2</v>
      </c>
      <c r="BS76" s="2" t="s">
        <v>118</v>
      </c>
      <c r="BT76" s="2" t="n">
        <v>1</v>
      </c>
      <c r="BU76" s="2" t="n">
        <v>4.1</v>
      </c>
      <c r="BV76" s="2" t="n">
        <v>4</v>
      </c>
      <c r="BW76" s="3" t="n">
        <v>45850</v>
      </c>
      <c r="BX76" s="2" t="n">
        <v>5</v>
      </c>
      <c r="BY76" s="2" t="n">
        <v>109</v>
      </c>
      <c r="BZ76" s="2" t="s">
        <v>117</v>
      </c>
      <c r="CA76" s="2" t="n">
        <v>-78</v>
      </c>
      <c r="CB76" s="2" t="n">
        <v>6</v>
      </c>
      <c r="CC76" s="2" t="n">
        <v>3</v>
      </c>
      <c r="CD76" s="2" t="n">
        <v>64.1</v>
      </c>
      <c r="CE76" s="4" t="n">
        <v>1591.39</v>
      </c>
      <c r="CF76" s="5" t="n">
        <v>76.6</v>
      </c>
      <c r="CG76" s="2" t="n">
        <v>619</v>
      </c>
      <c r="CH76" s="2" t="s">
        <v>144</v>
      </c>
      <c r="CI76" s="2" t="s">
        <v>117</v>
      </c>
      <c r="CJ76" s="2" t="n">
        <v>9</v>
      </c>
      <c r="CK76" s="2" t="n">
        <v>58</v>
      </c>
      <c r="CL76" s="4" t="n">
        <v>377.46</v>
      </c>
      <c r="CM76" s="2" t="n">
        <v>159</v>
      </c>
      <c r="CN76" s="2" t="s">
        <v>118</v>
      </c>
      <c r="CO76" s="4" t="n">
        <f aca="false">AH76*AI76</f>
        <v>2223.6</v>
      </c>
      <c r="CP76" s="4" t="n">
        <f aca="false">CO76*AJ76</f>
        <v>0</v>
      </c>
      <c r="CQ76" s="4" t="n">
        <f aca="false">(CO76-CP76)*AK76</f>
        <v>177.888</v>
      </c>
      <c r="CR76" s="4" t="n">
        <f aca="false">CO76-CP76+CQ76+AL76</f>
        <v>2425.448</v>
      </c>
      <c r="CS76" s="4" t="n">
        <f aca="false">CR76-(AP76*AH76)-AL76</f>
        <v>1289.688</v>
      </c>
      <c r="CT76" s="5" t="n">
        <f aca="false">IFERROR(CS76/CR76,0)</f>
        <v>0.531731869741178</v>
      </c>
      <c r="CU76" s="6" t="n">
        <f aca="false">IFERROR(BK76/BJ76,0)</f>
        <v>0.0278229553903346</v>
      </c>
      <c r="CV76" s="2" t="n">
        <f aca="false">IF(AY76="N/A","N/A",AY76-AX76)</f>
        <v>-2</v>
      </c>
    </row>
    <row r="77" customFormat="false" ht="15" hidden="false" customHeight="false" outlineLevel="0" collapsed="false">
      <c r="A77" s="2" t="s">
        <v>1427</v>
      </c>
      <c r="B77" s="2" t="s">
        <v>382</v>
      </c>
      <c r="C77" s="2" t="s">
        <v>1428</v>
      </c>
      <c r="D77" s="2" t="s">
        <v>1429</v>
      </c>
      <c r="E77" s="2" t="s">
        <v>1430</v>
      </c>
      <c r="F77" s="2" t="s">
        <v>184</v>
      </c>
      <c r="G77" s="2" t="n">
        <v>69</v>
      </c>
      <c r="H77" s="3" t="n">
        <v>20701</v>
      </c>
      <c r="I77" s="2" t="s">
        <v>807</v>
      </c>
      <c r="J77" s="2" t="s">
        <v>1242</v>
      </c>
      <c r="K77" s="2" t="s">
        <v>1243</v>
      </c>
      <c r="L77" s="2" t="s">
        <v>1244</v>
      </c>
      <c r="M77" s="2" t="s">
        <v>1431</v>
      </c>
      <c r="N77" s="3" t="n">
        <v>45426</v>
      </c>
      <c r="O77" s="2" t="s">
        <v>155</v>
      </c>
      <c r="P77" s="2" t="n">
        <v>3836</v>
      </c>
      <c r="Q77" s="2" t="s">
        <v>1432</v>
      </c>
      <c r="R77" s="2" t="s">
        <v>113</v>
      </c>
      <c r="S77" s="2" t="s">
        <v>114</v>
      </c>
      <c r="T77" s="2" t="s">
        <v>157</v>
      </c>
      <c r="U77" s="2" t="s">
        <v>222</v>
      </c>
      <c r="V77" s="2" t="s">
        <v>117</v>
      </c>
      <c r="W77" s="2" t="s">
        <v>118</v>
      </c>
      <c r="X77" s="2" t="s">
        <v>1433</v>
      </c>
      <c r="Y77" s="3" t="n">
        <v>45391</v>
      </c>
      <c r="Z77" s="2" t="s">
        <v>1434</v>
      </c>
      <c r="AA77" s="2" t="s">
        <v>161</v>
      </c>
      <c r="AB77" s="2" t="s">
        <v>218</v>
      </c>
      <c r="AC77" s="2" t="s">
        <v>1435</v>
      </c>
      <c r="AD77" s="2" t="s">
        <v>1265</v>
      </c>
      <c r="AE77" s="2" t="s">
        <v>295</v>
      </c>
      <c r="AF77" s="2" t="s">
        <v>1220</v>
      </c>
      <c r="AG77" s="2" t="s">
        <v>497</v>
      </c>
      <c r="AH77" s="2" t="n">
        <v>2</v>
      </c>
      <c r="AI77" s="4" t="n">
        <v>85.53</v>
      </c>
      <c r="AJ77" s="5" t="n">
        <v>0</v>
      </c>
      <c r="AK77" s="5" t="n">
        <v>0.08</v>
      </c>
      <c r="AL77" s="4" t="n">
        <v>9.6</v>
      </c>
      <c r="AM77" s="2" t="s">
        <v>419</v>
      </c>
      <c r="AN77" s="2" t="s">
        <v>129</v>
      </c>
      <c r="AO77" s="2" t="s">
        <v>130</v>
      </c>
      <c r="AP77" s="4" t="n">
        <v>34.21</v>
      </c>
      <c r="AQ77" s="2" t="s">
        <v>1436</v>
      </c>
      <c r="AR77" s="2" t="s">
        <v>1437</v>
      </c>
      <c r="AS77" s="2" t="s">
        <v>1243</v>
      </c>
      <c r="AT77" s="2" t="s">
        <v>807</v>
      </c>
      <c r="AU77" s="2" t="s">
        <v>350</v>
      </c>
      <c r="AV77" s="2" t="s">
        <v>173</v>
      </c>
      <c r="AW77" s="2" t="s">
        <v>1438</v>
      </c>
      <c r="AX77" s="3" t="n">
        <v>45397</v>
      </c>
      <c r="AY77" s="3" t="n">
        <v>45400</v>
      </c>
      <c r="AZ77" s="2" t="s">
        <v>203</v>
      </c>
      <c r="BA77" s="2" t="s">
        <v>118</v>
      </c>
      <c r="BB77" s="2" t="s">
        <v>113</v>
      </c>
      <c r="BC77" s="2" t="s">
        <v>113</v>
      </c>
      <c r="BD77" s="2" t="s">
        <v>118</v>
      </c>
      <c r="BE77" s="2" t="s">
        <v>113</v>
      </c>
      <c r="BF77" s="2" t="s">
        <v>353</v>
      </c>
      <c r="BG77" s="2" t="s">
        <v>713</v>
      </c>
      <c r="BH77" s="2" t="s">
        <v>1439</v>
      </c>
      <c r="BI77" s="4" t="n">
        <v>90.68</v>
      </c>
      <c r="BJ77" s="2" t="n">
        <v>10924</v>
      </c>
      <c r="BK77" s="2" t="n">
        <v>1620</v>
      </c>
      <c r="BL77" s="2" t="s">
        <v>113</v>
      </c>
      <c r="BM77" s="2" t="s">
        <v>118</v>
      </c>
      <c r="BN77" s="2" t="s">
        <v>304</v>
      </c>
      <c r="BO77" s="2" t="s">
        <v>258</v>
      </c>
      <c r="BP77" s="2" t="s">
        <v>143</v>
      </c>
      <c r="BQ77" s="2" t="n">
        <v>32.2</v>
      </c>
      <c r="BR77" s="2" t="n">
        <v>32</v>
      </c>
      <c r="BS77" s="2" t="s">
        <v>117</v>
      </c>
      <c r="BT77" s="2" t="n">
        <v>19</v>
      </c>
      <c r="BU77" s="2" t="n">
        <v>14.4</v>
      </c>
      <c r="BV77" s="2" t="n">
        <v>36</v>
      </c>
      <c r="BW77" s="3" t="n">
        <v>45490</v>
      </c>
      <c r="BX77" s="2" t="n">
        <v>2</v>
      </c>
      <c r="BY77" s="2" t="n">
        <v>113</v>
      </c>
      <c r="BZ77" s="2" t="s">
        <v>117</v>
      </c>
      <c r="CA77" s="2" t="n">
        <v>-72</v>
      </c>
      <c r="CB77" s="2" t="n">
        <v>6</v>
      </c>
      <c r="CC77" s="2" t="n">
        <v>3</v>
      </c>
      <c r="CD77" s="2" t="n">
        <v>33.5</v>
      </c>
      <c r="CE77" s="4" t="n">
        <v>2603.48</v>
      </c>
      <c r="CF77" s="5" t="n">
        <v>76.8</v>
      </c>
      <c r="CG77" s="2" t="n">
        <v>430</v>
      </c>
      <c r="CH77" s="2" t="s">
        <v>329</v>
      </c>
      <c r="CI77" s="2" t="s">
        <v>117</v>
      </c>
      <c r="CJ77" s="2" t="n">
        <v>1</v>
      </c>
      <c r="CK77" s="2" t="n">
        <v>77</v>
      </c>
      <c r="CL77" s="4" t="n">
        <v>467.38</v>
      </c>
      <c r="CM77" s="2" t="n">
        <v>194</v>
      </c>
      <c r="CN77" s="2" t="s">
        <v>118</v>
      </c>
      <c r="CO77" s="4" t="n">
        <f aca="false">AH77*AI77</f>
        <v>171.06</v>
      </c>
      <c r="CP77" s="4" t="n">
        <f aca="false">CO77*AJ77</f>
        <v>0</v>
      </c>
      <c r="CQ77" s="4" t="n">
        <f aca="false">(CO77-CP77)*AK77</f>
        <v>13.6848</v>
      </c>
      <c r="CR77" s="4" t="n">
        <f aca="false">CO77-CP77+CQ77+AL77</f>
        <v>194.3448</v>
      </c>
      <c r="CS77" s="4" t="n">
        <f aca="false">CR77-(AP77*AH77)-AL77</f>
        <v>116.3248</v>
      </c>
      <c r="CT77" s="5" t="n">
        <f aca="false">IFERROR(CS77/CR77,0)</f>
        <v>0.598548559055864</v>
      </c>
      <c r="CU77" s="6" t="n">
        <f aca="false">IFERROR(BK77/BJ77,0)</f>
        <v>0.148297326986452</v>
      </c>
      <c r="CV77" s="2" t="n">
        <f aca="false">IF(AY77="N/A","N/A",AY77-AX77)</f>
        <v>3</v>
      </c>
    </row>
    <row r="78" customFormat="false" ht="15" hidden="false" customHeight="false" outlineLevel="0" collapsed="false">
      <c r="A78" s="2" t="s">
        <v>1440</v>
      </c>
      <c r="B78" s="2" t="s">
        <v>261</v>
      </c>
      <c r="C78" s="2" t="s">
        <v>1441</v>
      </c>
      <c r="D78" s="2" t="s">
        <v>1442</v>
      </c>
      <c r="E78" s="2" t="s">
        <v>1443</v>
      </c>
      <c r="F78" s="2" t="s">
        <v>105</v>
      </c>
      <c r="G78" s="2" t="n">
        <v>23</v>
      </c>
      <c r="H78" s="3" t="n">
        <v>37373</v>
      </c>
      <c r="I78" s="2" t="s">
        <v>265</v>
      </c>
      <c r="J78" s="2" t="s">
        <v>386</v>
      </c>
      <c r="K78" s="2" t="s">
        <v>387</v>
      </c>
      <c r="L78" s="2" t="s">
        <v>388</v>
      </c>
      <c r="M78" s="2" t="s">
        <v>1444</v>
      </c>
      <c r="N78" s="3" t="n">
        <v>43101</v>
      </c>
      <c r="O78" s="2" t="s">
        <v>111</v>
      </c>
      <c r="P78" s="2" t="n">
        <v>1222</v>
      </c>
      <c r="Q78" s="2" t="s">
        <v>1445</v>
      </c>
      <c r="R78" s="2" t="s">
        <v>113</v>
      </c>
      <c r="S78" s="2" t="s">
        <v>114</v>
      </c>
      <c r="T78" s="2" t="s">
        <v>115</v>
      </c>
      <c r="U78" s="2" t="s">
        <v>222</v>
      </c>
      <c r="V78" s="2" t="s">
        <v>117</v>
      </c>
      <c r="W78" s="2" t="s">
        <v>117</v>
      </c>
      <c r="X78" s="2" t="s">
        <v>1446</v>
      </c>
      <c r="Y78" s="3" t="n">
        <v>45755</v>
      </c>
      <c r="Z78" s="2" t="s">
        <v>1447</v>
      </c>
      <c r="AA78" s="2" t="s">
        <v>414</v>
      </c>
      <c r="AB78" s="2" t="s">
        <v>342</v>
      </c>
      <c r="AC78" s="2" t="s">
        <v>1448</v>
      </c>
      <c r="AD78" s="2" t="s">
        <v>588</v>
      </c>
      <c r="AE78" s="2" t="s">
        <v>125</v>
      </c>
      <c r="AF78" s="2" t="s">
        <v>275</v>
      </c>
      <c r="AG78" s="2" t="s">
        <v>474</v>
      </c>
      <c r="AH78" s="2" t="n">
        <v>5</v>
      </c>
      <c r="AI78" s="4" t="n">
        <v>71.5</v>
      </c>
      <c r="AJ78" s="5" t="n">
        <v>0.05</v>
      </c>
      <c r="AK78" s="5" t="n">
        <v>0.08</v>
      </c>
      <c r="AL78" s="4" t="n">
        <v>5.28</v>
      </c>
      <c r="AM78" s="2" t="s">
        <v>168</v>
      </c>
      <c r="AN78" s="2" t="s">
        <v>129</v>
      </c>
      <c r="AO78" s="2" t="s">
        <v>271</v>
      </c>
      <c r="AP78" s="4" t="n">
        <v>25.02</v>
      </c>
      <c r="AQ78" s="2" t="s">
        <v>1449</v>
      </c>
      <c r="AR78" s="2" t="s">
        <v>1450</v>
      </c>
      <c r="AS78" s="2" t="s">
        <v>387</v>
      </c>
      <c r="AT78" s="2" t="s">
        <v>265</v>
      </c>
      <c r="AU78" s="2" t="s">
        <v>322</v>
      </c>
      <c r="AV78" s="2" t="s">
        <v>201</v>
      </c>
      <c r="AW78" s="2" t="s">
        <v>1451</v>
      </c>
      <c r="AX78" s="3" t="n">
        <v>45762</v>
      </c>
      <c r="AY78" s="2" t="s">
        <v>113</v>
      </c>
      <c r="AZ78" s="2" t="s">
        <v>203</v>
      </c>
      <c r="BA78" s="2" t="s">
        <v>118</v>
      </c>
      <c r="BB78" s="2" t="s">
        <v>113</v>
      </c>
      <c r="BC78" s="2" t="s">
        <v>113</v>
      </c>
      <c r="BD78" s="2" t="s">
        <v>118</v>
      </c>
      <c r="BE78" s="2" t="s">
        <v>113</v>
      </c>
      <c r="BF78" s="2" t="s">
        <v>353</v>
      </c>
      <c r="BG78" s="2" t="s">
        <v>354</v>
      </c>
      <c r="BH78" s="2" t="s">
        <v>1452</v>
      </c>
      <c r="BI78" s="4" t="n">
        <v>10.74</v>
      </c>
      <c r="BJ78" s="2" t="n">
        <v>10079</v>
      </c>
      <c r="BK78" s="2" t="n">
        <v>895</v>
      </c>
      <c r="BL78" s="2" t="s">
        <v>113</v>
      </c>
      <c r="BM78" s="2" t="s">
        <v>117</v>
      </c>
      <c r="BN78" s="2" t="s">
        <v>177</v>
      </c>
      <c r="BO78" s="2" t="s">
        <v>229</v>
      </c>
      <c r="BP78" s="2" t="s">
        <v>143</v>
      </c>
      <c r="BQ78" s="2" t="n">
        <v>39.9</v>
      </c>
      <c r="BR78" s="2" t="n">
        <v>28</v>
      </c>
      <c r="BS78" s="2" t="s">
        <v>118</v>
      </c>
      <c r="BT78" s="2" t="n">
        <v>4</v>
      </c>
      <c r="BU78" s="2" t="n">
        <v>3.5</v>
      </c>
      <c r="BV78" s="2" t="n">
        <v>42</v>
      </c>
      <c r="BW78" s="3" t="n">
        <v>45967</v>
      </c>
      <c r="BX78" s="2" t="n">
        <v>5</v>
      </c>
      <c r="BY78" s="2" t="n">
        <v>116</v>
      </c>
      <c r="BZ78" s="2" t="s">
        <v>118</v>
      </c>
      <c r="CA78" s="2" t="n">
        <v>30</v>
      </c>
      <c r="CB78" s="2" t="n">
        <v>7</v>
      </c>
      <c r="CC78" s="2" t="n">
        <v>1</v>
      </c>
      <c r="CD78" s="2" t="n">
        <v>61.5</v>
      </c>
      <c r="CE78" s="4" t="n">
        <v>983.04</v>
      </c>
      <c r="CF78" s="5" t="n">
        <v>90.1</v>
      </c>
      <c r="CG78" s="2" t="n">
        <v>354</v>
      </c>
      <c r="CH78" s="2" t="s">
        <v>144</v>
      </c>
      <c r="CI78" s="2" t="s">
        <v>118</v>
      </c>
      <c r="CJ78" s="2" t="n">
        <v>6</v>
      </c>
      <c r="CK78" s="2" t="n">
        <v>80</v>
      </c>
      <c r="CL78" s="4" t="n">
        <v>124.28</v>
      </c>
      <c r="CM78" s="2" t="n">
        <v>260</v>
      </c>
      <c r="CN78" s="2" t="s">
        <v>118</v>
      </c>
      <c r="CO78" s="4" t="n">
        <f aca="false">AH78*AI78</f>
        <v>357.5</v>
      </c>
      <c r="CP78" s="4" t="n">
        <f aca="false">CO78*AJ78</f>
        <v>17.875</v>
      </c>
      <c r="CQ78" s="4" t="n">
        <f aca="false">(CO78-CP78)*AK78</f>
        <v>27.17</v>
      </c>
      <c r="CR78" s="4" t="n">
        <f aca="false">CO78-CP78+CQ78+AL78</f>
        <v>372.075</v>
      </c>
      <c r="CS78" s="4" t="n">
        <f aca="false">CR78-(AP78*AH78)-AL78</f>
        <v>241.695</v>
      </c>
      <c r="CT78" s="5" t="n">
        <f aca="false">IFERROR(CS78/CR78,0)</f>
        <v>0.649586776859504</v>
      </c>
      <c r="CU78" s="6" t="n">
        <f aca="false">IFERROR(BK78/BJ78,0)</f>
        <v>0.0887984919138803</v>
      </c>
      <c r="CV78" s="2" t="str">
        <f aca="false">IF(AY78="N/A","N/A",AY78-AX78)</f>
        <v>N/A</v>
      </c>
    </row>
    <row r="79" customFormat="false" ht="15" hidden="false" customHeight="false" outlineLevel="0" collapsed="false">
      <c r="A79" s="2" t="s">
        <v>1453</v>
      </c>
      <c r="B79" s="2" t="s">
        <v>1369</v>
      </c>
      <c r="C79" s="2" t="s">
        <v>1454</v>
      </c>
      <c r="D79" s="2" t="s">
        <v>1455</v>
      </c>
      <c r="E79" s="2" t="s">
        <v>1456</v>
      </c>
      <c r="F79" s="2" t="s">
        <v>150</v>
      </c>
      <c r="G79" s="2" t="n">
        <v>32</v>
      </c>
      <c r="H79" s="3" t="n">
        <v>34042</v>
      </c>
      <c r="I79" s="2" t="s">
        <v>235</v>
      </c>
      <c r="J79" s="2" t="s">
        <v>236</v>
      </c>
      <c r="K79" s="2" t="s">
        <v>236</v>
      </c>
      <c r="L79" s="2" t="s">
        <v>237</v>
      </c>
      <c r="M79" s="2" t="s">
        <v>1457</v>
      </c>
      <c r="N79" s="3" t="n">
        <v>43131</v>
      </c>
      <c r="O79" s="2" t="s">
        <v>311</v>
      </c>
      <c r="P79" s="2" t="n">
        <v>1939</v>
      </c>
      <c r="Q79" s="2" t="s">
        <v>1458</v>
      </c>
      <c r="R79" s="2" t="s">
        <v>113</v>
      </c>
      <c r="S79" s="2" t="s">
        <v>190</v>
      </c>
      <c r="T79" s="2" t="s">
        <v>191</v>
      </c>
      <c r="U79" s="2" t="s">
        <v>158</v>
      </c>
      <c r="V79" s="2" t="s">
        <v>117</v>
      </c>
      <c r="W79" s="2" t="s">
        <v>117</v>
      </c>
      <c r="X79" s="2" t="s">
        <v>1459</v>
      </c>
      <c r="Y79" s="3" t="n">
        <v>46021</v>
      </c>
      <c r="Z79" s="2" t="s">
        <v>1460</v>
      </c>
      <c r="AA79" s="2" t="s">
        <v>161</v>
      </c>
      <c r="AB79" s="2" t="s">
        <v>122</v>
      </c>
      <c r="AC79" s="2" t="s">
        <v>1461</v>
      </c>
      <c r="AD79" s="2" t="s">
        <v>588</v>
      </c>
      <c r="AE79" s="2" t="s">
        <v>125</v>
      </c>
      <c r="AF79" s="2" t="s">
        <v>275</v>
      </c>
      <c r="AG79" s="2" t="s">
        <v>474</v>
      </c>
      <c r="AH79" s="2" t="n">
        <v>5</v>
      </c>
      <c r="AI79" s="4" t="n">
        <v>60.11</v>
      </c>
      <c r="AJ79" s="5" t="n">
        <v>0</v>
      </c>
      <c r="AK79" s="5" t="n">
        <v>0.08</v>
      </c>
      <c r="AL79" s="4" t="n">
        <v>8.82</v>
      </c>
      <c r="AM79" s="2" t="s">
        <v>419</v>
      </c>
      <c r="AN79" s="2" t="s">
        <v>129</v>
      </c>
      <c r="AO79" s="2" t="s">
        <v>169</v>
      </c>
      <c r="AP79" s="4" t="n">
        <v>21.04</v>
      </c>
      <c r="AQ79" s="2" t="s">
        <v>1462</v>
      </c>
      <c r="AR79" s="2" t="s">
        <v>1463</v>
      </c>
      <c r="AS79" s="2" t="s">
        <v>236</v>
      </c>
      <c r="AT79" s="2" t="s">
        <v>235</v>
      </c>
      <c r="AU79" s="2" t="s">
        <v>322</v>
      </c>
      <c r="AV79" s="2" t="s">
        <v>278</v>
      </c>
      <c r="AW79" s="2" t="s">
        <v>1464</v>
      </c>
      <c r="AX79" s="3" t="n">
        <v>46030</v>
      </c>
      <c r="AY79" s="3" t="n">
        <v>46033</v>
      </c>
      <c r="AZ79" s="2" t="s">
        <v>203</v>
      </c>
      <c r="BA79" s="2" t="s">
        <v>118</v>
      </c>
      <c r="BB79" s="2" t="s">
        <v>113</v>
      </c>
      <c r="BC79" s="2" t="s">
        <v>113</v>
      </c>
      <c r="BD79" s="2" t="s">
        <v>118</v>
      </c>
      <c r="BE79" s="2" t="s">
        <v>113</v>
      </c>
      <c r="BF79" s="2" t="s">
        <v>255</v>
      </c>
      <c r="BG79" s="2" t="s">
        <v>820</v>
      </c>
      <c r="BH79" s="2" t="s">
        <v>1465</v>
      </c>
      <c r="BI79" s="4" t="n">
        <v>291.18</v>
      </c>
      <c r="BJ79" s="2" t="n">
        <v>2723</v>
      </c>
      <c r="BK79" s="2" t="n">
        <v>77</v>
      </c>
      <c r="BL79" s="2" t="s">
        <v>113</v>
      </c>
      <c r="BM79" s="2" t="s">
        <v>118</v>
      </c>
      <c r="BN79" s="2" t="s">
        <v>304</v>
      </c>
      <c r="BO79" s="2" t="s">
        <v>229</v>
      </c>
      <c r="BP79" s="2" t="s">
        <v>143</v>
      </c>
      <c r="BQ79" s="2" t="n">
        <v>13.5</v>
      </c>
      <c r="BR79" s="2" t="n">
        <v>40</v>
      </c>
      <c r="BS79" s="2" t="s">
        <v>117</v>
      </c>
      <c r="BT79" s="2" t="n">
        <v>15</v>
      </c>
      <c r="BU79" s="2" t="n">
        <v>3.4</v>
      </c>
      <c r="BV79" s="2" t="n">
        <v>33</v>
      </c>
      <c r="BW79" s="3" t="n">
        <v>46021</v>
      </c>
      <c r="BX79" s="2" t="n">
        <v>4</v>
      </c>
      <c r="BY79" s="2" t="n">
        <v>71</v>
      </c>
      <c r="BZ79" s="2" t="s">
        <v>117</v>
      </c>
      <c r="CA79" s="2" t="n">
        <v>56</v>
      </c>
      <c r="CB79" s="2" t="n">
        <v>2</v>
      </c>
      <c r="CC79" s="2" t="n">
        <v>1</v>
      </c>
      <c r="CD79" s="2" t="n">
        <v>34.3</v>
      </c>
      <c r="CE79" s="4" t="n">
        <v>11138.21</v>
      </c>
      <c r="CF79" s="5" t="n">
        <v>96</v>
      </c>
      <c r="CG79" s="2" t="n">
        <v>379</v>
      </c>
      <c r="CH79" s="2" t="s">
        <v>144</v>
      </c>
      <c r="CI79" s="2" t="s">
        <v>117</v>
      </c>
      <c r="CJ79" s="2" t="n">
        <v>4</v>
      </c>
      <c r="CK79" s="2" t="n">
        <v>2</v>
      </c>
      <c r="CL79" s="4" t="n">
        <v>450.03</v>
      </c>
      <c r="CM79" s="2" t="n">
        <v>309</v>
      </c>
      <c r="CN79" s="2" t="s">
        <v>118</v>
      </c>
      <c r="CO79" s="4" t="n">
        <f aca="false">AH79*AI79</f>
        <v>300.55</v>
      </c>
      <c r="CP79" s="4" t="n">
        <f aca="false">CO79*AJ79</f>
        <v>0</v>
      </c>
      <c r="CQ79" s="4" t="n">
        <f aca="false">(CO79-CP79)*AK79</f>
        <v>24.044</v>
      </c>
      <c r="CR79" s="4" t="n">
        <f aca="false">CO79-CP79+CQ79+AL79</f>
        <v>333.414</v>
      </c>
      <c r="CS79" s="4" t="n">
        <f aca="false">CR79-(AP79*AH79)-AL79</f>
        <v>219.394</v>
      </c>
      <c r="CT79" s="5" t="n">
        <f aca="false">IFERROR(CS79/CR79,0)</f>
        <v>0.658022758492445</v>
      </c>
      <c r="CU79" s="6" t="n">
        <f aca="false">IFERROR(BK79/BJ79,0)</f>
        <v>0.0282776349614396</v>
      </c>
      <c r="CV79" s="2" t="n">
        <f aca="false">IF(AY79="N/A","N/A",AY79-AX79)</f>
        <v>3</v>
      </c>
    </row>
    <row r="80" customFormat="false" ht="15" hidden="false" customHeight="false" outlineLevel="0" collapsed="false">
      <c r="A80" s="2" t="s">
        <v>1466</v>
      </c>
      <c r="B80" s="2" t="s">
        <v>1155</v>
      </c>
      <c r="C80" s="2" t="s">
        <v>754</v>
      </c>
      <c r="D80" s="2" t="s">
        <v>1467</v>
      </c>
      <c r="E80" s="2" t="s">
        <v>1468</v>
      </c>
      <c r="F80" s="2" t="s">
        <v>105</v>
      </c>
      <c r="G80" s="2" t="n">
        <v>60</v>
      </c>
      <c r="H80" s="3" t="n">
        <v>23966</v>
      </c>
      <c r="I80" s="2" t="s">
        <v>599</v>
      </c>
      <c r="J80" s="2" t="s">
        <v>600</v>
      </c>
      <c r="K80" s="2" t="s">
        <v>601</v>
      </c>
      <c r="L80" s="2" t="s">
        <v>602</v>
      </c>
      <c r="M80" s="2" t="s">
        <v>1469</v>
      </c>
      <c r="N80" s="3" t="n">
        <v>44171</v>
      </c>
      <c r="O80" s="2" t="s">
        <v>111</v>
      </c>
      <c r="P80" s="2" t="n">
        <v>1934</v>
      </c>
      <c r="Q80" s="2" t="s">
        <v>1470</v>
      </c>
      <c r="R80" s="2" t="s">
        <v>113</v>
      </c>
      <c r="S80" s="2" t="s">
        <v>114</v>
      </c>
      <c r="T80" s="2" t="s">
        <v>551</v>
      </c>
      <c r="U80" s="2" t="s">
        <v>169</v>
      </c>
      <c r="V80" s="2" t="s">
        <v>117</v>
      </c>
      <c r="W80" s="2" t="s">
        <v>118</v>
      </c>
      <c r="X80" s="2" t="s">
        <v>1471</v>
      </c>
      <c r="Y80" s="3" t="n">
        <v>45788</v>
      </c>
      <c r="Z80" s="2" t="s">
        <v>1472</v>
      </c>
      <c r="AA80" s="2" t="s">
        <v>121</v>
      </c>
      <c r="AB80" s="2" t="s">
        <v>162</v>
      </c>
      <c r="AC80" s="2" t="s">
        <v>1473</v>
      </c>
      <c r="AD80" s="2" t="s">
        <v>515</v>
      </c>
      <c r="AE80" s="2" t="s">
        <v>395</v>
      </c>
      <c r="AF80" s="2" t="s">
        <v>1066</v>
      </c>
      <c r="AG80" s="2" t="s">
        <v>1474</v>
      </c>
      <c r="AH80" s="2" t="n">
        <v>1</v>
      </c>
      <c r="AI80" s="4" t="n">
        <v>213.14</v>
      </c>
      <c r="AJ80" s="5" t="n">
        <v>0</v>
      </c>
      <c r="AK80" s="5" t="n">
        <v>0.08</v>
      </c>
      <c r="AL80" s="4" t="n">
        <v>22.94</v>
      </c>
      <c r="AM80" s="2" t="s">
        <v>128</v>
      </c>
      <c r="AN80" s="2" t="s">
        <v>129</v>
      </c>
      <c r="AO80" s="2" t="s">
        <v>158</v>
      </c>
      <c r="AP80" s="4" t="n">
        <v>95.91</v>
      </c>
      <c r="AQ80" s="2" t="s">
        <v>1475</v>
      </c>
      <c r="AR80" s="2" t="s">
        <v>1476</v>
      </c>
      <c r="AS80" s="2" t="s">
        <v>601</v>
      </c>
      <c r="AT80" s="2" t="s">
        <v>599</v>
      </c>
      <c r="AU80" s="2" t="s">
        <v>322</v>
      </c>
      <c r="AV80" s="2" t="s">
        <v>375</v>
      </c>
      <c r="AW80" s="2" t="s">
        <v>1477</v>
      </c>
      <c r="AX80" s="3" t="n">
        <v>45797</v>
      </c>
      <c r="AY80" s="2" t="s">
        <v>113</v>
      </c>
      <c r="AZ80" s="2" t="s">
        <v>203</v>
      </c>
      <c r="BA80" s="2" t="s">
        <v>118</v>
      </c>
      <c r="BB80" s="2" t="s">
        <v>113</v>
      </c>
      <c r="BC80" s="2" t="s">
        <v>113</v>
      </c>
      <c r="BD80" s="2" t="s">
        <v>118</v>
      </c>
      <c r="BE80" s="2" t="s">
        <v>113</v>
      </c>
      <c r="BF80" s="2" t="s">
        <v>204</v>
      </c>
      <c r="BG80" s="2" t="s">
        <v>205</v>
      </c>
      <c r="BH80" s="2" t="s">
        <v>1478</v>
      </c>
      <c r="BI80" s="4" t="n">
        <v>328.9</v>
      </c>
      <c r="BJ80" s="2" t="n">
        <v>14523</v>
      </c>
      <c r="BK80" s="2" t="n">
        <v>690</v>
      </c>
      <c r="BL80" s="2" t="s">
        <v>380</v>
      </c>
      <c r="BM80" s="2" t="s">
        <v>118</v>
      </c>
      <c r="BN80" s="2" t="s">
        <v>141</v>
      </c>
      <c r="BO80" s="2" t="s">
        <v>142</v>
      </c>
      <c r="BP80" s="2" t="s">
        <v>143</v>
      </c>
      <c r="BQ80" s="2" t="n">
        <v>26.7</v>
      </c>
      <c r="BR80" s="2" t="n">
        <v>13</v>
      </c>
      <c r="BS80" s="2" t="s">
        <v>118</v>
      </c>
      <c r="BT80" s="2" t="n">
        <v>5</v>
      </c>
      <c r="BU80" s="2" t="n">
        <v>10.1</v>
      </c>
      <c r="BV80" s="2" t="n">
        <v>1</v>
      </c>
      <c r="BW80" s="3" t="n">
        <v>45960</v>
      </c>
      <c r="BX80" s="2" t="n">
        <v>5</v>
      </c>
      <c r="BY80" s="2" t="n">
        <v>2</v>
      </c>
      <c r="BZ80" s="2" t="s">
        <v>118</v>
      </c>
      <c r="CA80" s="2" t="n">
        <v>93</v>
      </c>
      <c r="CB80" s="2" t="n">
        <v>2</v>
      </c>
      <c r="CC80" s="2" t="n">
        <v>0</v>
      </c>
      <c r="CD80" s="2" t="n">
        <v>0</v>
      </c>
      <c r="CE80" s="4" t="n">
        <v>2555.63</v>
      </c>
      <c r="CF80" s="5" t="n">
        <v>39.9</v>
      </c>
      <c r="CG80" s="2" t="n">
        <v>608</v>
      </c>
      <c r="CH80" s="2" t="s">
        <v>283</v>
      </c>
      <c r="CI80" s="2" t="s">
        <v>117</v>
      </c>
      <c r="CJ80" s="2" t="n">
        <v>8</v>
      </c>
      <c r="CK80" s="2" t="n">
        <v>14</v>
      </c>
      <c r="CL80" s="4" t="n">
        <v>417.59</v>
      </c>
      <c r="CM80" s="2" t="n">
        <v>179</v>
      </c>
      <c r="CN80" s="2" t="s">
        <v>118</v>
      </c>
      <c r="CO80" s="4" t="n">
        <f aca="false">AH80*AI80</f>
        <v>213.14</v>
      </c>
      <c r="CP80" s="4" t="n">
        <f aca="false">CO80*AJ80</f>
        <v>0</v>
      </c>
      <c r="CQ80" s="4" t="n">
        <f aca="false">(CO80-CP80)*AK80</f>
        <v>17.0512</v>
      </c>
      <c r="CR80" s="4" t="n">
        <f aca="false">CO80-CP80+CQ80+AL80</f>
        <v>253.1312</v>
      </c>
      <c r="CS80" s="4" t="n">
        <f aca="false">CR80-(AP80*AH80)-AL80</f>
        <v>134.2812</v>
      </c>
      <c r="CT80" s="5" t="n">
        <f aca="false">IFERROR(CS80/CR80,0)</f>
        <v>0.530480636128616</v>
      </c>
      <c r="CU80" s="6" t="n">
        <f aca="false">IFERROR(BK80/BJ80,0)</f>
        <v>0.0475108448667631</v>
      </c>
      <c r="CV80" s="2" t="str">
        <f aca="false">IF(AY80="N/A","N/A",AY80-AX80)</f>
        <v>N/A</v>
      </c>
    </row>
    <row r="81" customFormat="false" ht="15" hidden="false" customHeight="false" outlineLevel="0" collapsed="false">
      <c r="A81" s="2" t="s">
        <v>1479</v>
      </c>
      <c r="B81" s="2" t="s">
        <v>1480</v>
      </c>
      <c r="C81" s="2" t="s">
        <v>1481</v>
      </c>
      <c r="D81" s="2" t="s">
        <v>1482</v>
      </c>
      <c r="E81" s="2" t="s">
        <v>1483</v>
      </c>
      <c r="F81" s="2" t="s">
        <v>105</v>
      </c>
      <c r="G81" s="2" t="n">
        <v>20</v>
      </c>
      <c r="H81" s="3" t="n">
        <v>38372</v>
      </c>
      <c r="I81" s="2" t="s">
        <v>265</v>
      </c>
      <c r="J81" s="2" t="s">
        <v>787</v>
      </c>
      <c r="K81" s="2" t="s">
        <v>788</v>
      </c>
      <c r="L81" s="2" t="s">
        <v>789</v>
      </c>
      <c r="M81" s="2" t="s">
        <v>1484</v>
      </c>
      <c r="N81" s="3" t="n">
        <v>43333</v>
      </c>
      <c r="O81" s="2" t="s">
        <v>859</v>
      </c>
      <c r="P81" s="2" t="n">
        <v>1776</v>
      </c>
      <c r="Q81" s="2" t="s">
        <v>1485</v>
      </c>
      <c r="R81" s="2" t="s">
        <v>305</v>
      </c>
      <c r="S81" s="2" t="s">
        <v>114</v>
      </c>
      <c r="T81" s="2" t="s">
        <v>365</v>
      </c>
      <c r="U81" s="2" t="s">
        <v>222</v>
      </c>
      <c r="V81" s="2" t="s">
        <v>117</v>
      </c>
      <c r="W81" s="2" t="s">
        <v>118</v>
      </c>
      <c r="X81" s="2" t="s">
        <v>1486</v>
      </c>
      <c r="Y81" s="3" t="n">
        <v>45905</v>
      </c>
      <c r="Z81" s="2" t="s">
        <v>1487</v>
      </c>
      <c r="AA81" s="2" t="s">
        <v>161</v>
      </c>
      <c r="AB81" s="2" t="s">
        <v>342</v>
      </c>
      <c r="AC81" s="2" t="s">
        <v>1488</v>
      </c>
      <c r="AD81" s="2" t="s">
        <v>928</v>
      </c>
      <c r="AE81" s="2" t="s">
        <v>165</v>
      </c>
      <c r="AF81" s="2" t="s">
        <v>974</v>
      </c>
      <c r="AG81" s="2" t="s">
        <v>929</v>
      </c>
      <c r="AH81" s="2" t="n">
        <v>5</v>
      </c>
      <c r="AI81" s="4" t="n">
        <v>75.39</v>
      </c>
      <c r="AJ81" s="5" t="n">
        <v>0</v>
      </c>
      <c r="AK81" s="5" t="n">
        <v>0.08</v>
      </c>
      <c r="AL81" s="4" t="n">
        <v>15.35</v>
      </c>
      <c r="AM81" s="2" t="s">
        <v>221</v>
      </c>
      <c r="AN81" s="2" t="s">
        <v>557</v>
      </c>
      <c r="AO81" s="2" t="s">
        <v>130</v>
      </c>
      <c r="AP81" s="4" t="n">
        <v>37.7</v>
      </c>
      <c r="AQ81" s="2" t="s">
        <v>1489</v>
      </c>
      <c r="AR81" s="2" t="s">
        <v>1490</v>
      </c>
      <c r="AS81" s="2" t="s">
        <v>788</v>
      </c>
      <c r="AT81" s="2" t="s">
        <v>265</v>
      </c>
      <c r="AU81" s="2" t="s">
        <v>133</v>
      </c>
      <c r="AV81" s="2" t="s">
        <v>351</v>
      </c>
      <c r="AW81" s="2" t="s">
        <v>1491</v>
      </c>
      <c r="AX81" s="3" t="n">
        <v>45908</v>
      </c>
      <c r="AY81" s="3" t="n">
        <v>45908</v>
      </c>
      <c r="AZ81" s="2" t="s">
        <v>203</v>
      </c>
      <c r="BA81" s="2" t="s">
        <v>118</v>
      </c>
      <c r="BB81" s="2" t="s">
        <v>113</v>
      </c>
      <c r="BC81" s="2" t="s">
        <v>113</v>
      </c>
      <c r="BD81" s="2" t="s">
        <v>118</v>
      </c>
      <c r="BE81" s="2" t="s">
        <v>113</v>
      </c>
      <c r="BF81" s="2" t="s">
        <v>137</v>
      </c>
      <c r="BG81" s="2" t="s">
        <v>401</v>
      </c>
      <c r="BH81" s="2" t="s">
        <v>1492</v>
      </c>
      <c r="BI81" s="4" t="n">
        <v>448.77</v>
      </c>
      <c r="BJ81" s="2" t="n">
        <v>2581</v>
      </c>
      <c r="BK81" s="2" t="n">
        <v>332</v>
      </c>
      <c r="BL81" s="2" t="s">
        <v>1493</v>
      </c>
      <c r="BM81" s="2" t="s">
        <v>117</v>
      </c>
      <c r="BN81" s="2" t="s">
        <v>304</v>
      </c>
      <c r="BO81" s="2" t="s">
        <v>258</v>
      </c>
      <c r="BP81" s="2" t="s">
        <v>259</v>
      </c>
      <c r="BQ81" s="2" t="n">
        <v>2.2</v>
      </c>
      <c r="BR81" s="2" t="n">
        <v>25</v>
      </c>
      <c r="BS81" s="2" t="s">
        <v>118</v>
      </c>
      <c r="BT81" s="2" t="n">
        <v>10</v>
      </c>
      <c r="BU81" s="2" t="n">
        <v>27.2</v>
      </c>
      <c r="BV81" s="2" t="n">
        <v>37</v>
      </c>
      <c r="BW81" s="3" t="n">
        <v>45905</v>
      </c>
      <c r="BX81" s="2" t="n">
        <v>5</v>
      </c>
      <c r="BY81" s="2" t="n">
        <v>131</v>
      </c>
      <c r="BZ81" s="2" t="s">
        <v>118</v>
      </c>
      <c r="CA81" s="2" t="n">
        <v>97</v>
      </c>
      <c r="CB81" s="2" t="n">
        <v>6</v>
      </c>
      <c r="CC81" s="2" t="n">
        <v>2</v>
      </c>
      <c r="CD81" s="2" t="n">
        <v>12.1</v>
      </c>
      <c r="CE81" s="4" t="n">
        <v>1156.26</v>
      </c>
      <c r="CF81" s="5" t="n">
        <v>77.7</v>
      </c>
      <c r="CG81" s="2" t="n">
        <v>691</v>
      </c>
      <c r="CH81" s="2" t="s">
        <v>329</v>
      </c>
      <c r="CI81" s="2" t="s">
        <v>117</v>
      </c>
      <c r="CJ81" s="2" t="n">
        <v>6</v>
      </c>
      <c r="CK81" s="2" t="n">
        <v>9</v>
      </c>
      <c r="CL81" s="4" t="n">
        <v>333.27</v>
      </c>
      <c r="CM81" s="2" t="n">
        <v>1</v>
      </c>
      <c r="CN81" s="2" t="s">
        <v>118</v>
      </c>
      <c r="CO81" s="4" t="n">
        <f aca="false">AH81*AI81</f>
        <v>376.95</v>
      </c>
      <c r="CP81" s="4" t="n">
        <f aca="false">CO81*AJ81</f>
        <v>0</v>
      </c>
      <c r="CQ81" s="4" t="n">
        <f aca="false">(CO81-CP81)*AK81</f>
        <v>30.156</v>
      </c>
      <c r="CR81" s="4" t="n">
        <f aca="false">CO81-CP81+CQ81+AL81</f>
        <v>422.456</v>
      </c>
      <c r="CS81" s="4" t="n">
        <f aca="false">CR81-(AP81*AH81)-AL81</f>
        <v>218.606</v>
      </c>
      <c r="CT81" s="5" t="n">
        <f aca="false">IFERROR(CS81/CR81,0)</f>
        <v>0.517464540685894</v>
      </c>
      <c r="CU81" s="6" t="n">
        <f aca="false">IFERROR(BK81/BJ81,0)</f>
        <v>0.128632313056955</v>
      </c>
      <c r="CV81" s="2" t="n">
        <f aca="false">IF(AY81="N/A","N/A",AY81-AX81)</f>
        <v>0</v>
      </c>
    </row>
    <row r="82" customFormat="false" ht="15" hidden="false" customHeight="false" outlineLevel="0" collapsed="false">
      <c r="A82" s="2" t="s">
        <v>1494</v>
      </c>
      <c r="B82" s="2" t="s">
        <v>359</v>
      </c>
      <c r="C82" s="2" t="s">
        <v>936</v>
      </c>
      <c r="D82" s="2" t="s">
        <v>1495</v>
      </c>
      <c r="E82" s="2" t="s">
        <v>1496</v>
      </c>
      <c r="F82" s="2" t="s">
        <v>150</v>
      </c>
      <c r="G82" s="2" t="n">
        <v>25</v>
      </c>
      <c r="H82" s="3" t="n">
        <v>36817</v>
      </c>
      <c r="I82" s="2" t="s">
        <v>526</v>
      </c>
      <c r="J82" s="2" t="s">
        <v>700</v>
      </c>
      <c r="K82" s="2" t="s">
        <v>701</v>
      </c>
      <c r="L82" s="2" t="s">
        <v>702</v>
      </c>
      <c r="M82" s="2" t="s">
        <v>1497</v>
      </c>
      <c r="N82" s="3" t="n">
        <v>44466</v>
      </c>
      <c r="O82" s="2" t="s">
        <v>311</v>
      </c>
      <c r="P82" s="2" t="n">
        <v>3281</v>
      </c>
      <c r="Q82" s="2" t="s">
        <v>1498</v>
      </c>
      <c r="R82" s="2" t="s">
        <v>113</v>
      </c>
      <c r="S82" s="2" t="s">
        <v>1062</v>
      </c>
      <c r="T82" s="2" t="s">
        <v>551</v>
      </c>
      <c r="U82" s="2" t="s">
        <v>169</v>
      </c>
      <c r="V82" s="2" t="s">
        <v>117</v>
      </c>
      <c r="W82" s="2" t="s">
        <v>117</v>
      </c>
      <c r="X82" s="2" t="s">
        <v>1499</v>
      </c>
      <c r="Y82" s="3" t="n">
        <v>45348</v>
      </c>
      <c r="Z82" s="2" t="s">
        <v>1500</v>
      </c>
      <c r="AA82" s="2" t="s">
        <v>161</v>
      </c>
      <c r="AB82" s="2" t="s">
        <v>162</v>
      </c>
      <c r="AC82" s="2" t="s">
        <v>1501</v>
      </c>
      <c r="AD82" s="2" t="s">
        <v>957</v>
      </c>
      <c r="AE82" s="2" t="s">
        <v>165</v>
      </c>
      <c r="AF82" s="2" t="s">
        <v>974</v>
      </c>
      <c r="AG82" s="2" t="s">
        <v>975</v>
      </c>
      <c r="AH82" s="2" t="n">
        <v>3</v>
      </c>
      <c r="AI82" s="4" t="n">
        <v>51.26</v>
      </c>
      <c r="AJ82" s="5" t="n">
        <v>0.25</v>
      </c>
      <c r="AK82" s="5" t="n">
        <v>0.08</v>
      </c>
      <c r="AL82" s="4" t="n">
        <v>20.18</v>
      </c>
      <c r="AM82" s="2" t="s">
        <v>128</v>
      </c>
      <c r="AN82" s="2" t="s">
        <v>129</v>
      </c>
      <c r="AO82" s="2" t="s">
        <v>130</v>
      </c>
      <c r="AP82" s="4" t="n">
        <v>25.63</v>
      </c>
      <c r="AQ82" s="2" t="s">
        <v>1502</v>
      </c>
      <c r="AR82" s="2" t="s">
        <v>1503</v>
      </c>
      <c r="AS82" s="2" t="s">
        <v>701</v>
      </c>
      <c r="AT82" s="2" t="s">
        <v>526</v>
      </c>
      <c r="AU82" s="2" t="s">
        <v>251</v>
      </c>
      <c r="AV82" s="2" t="s">
        <v>278</v>
      </c>
      <c r="AW82" s="2" t="s">
        <v>1504</v>
      </c>
      <c r="AX82" s="3" t="n">
        <v>45354</v>
      </c>
      <c r="AY82" s="3" t="n">
        <v>45355</v>
      </c>
      <c r="AZ82" s="2" t="s">
        <v>175</v>
      </c>
      <c r="BA82" s="2" t="s">
        <v>117</v>
      </c>
      <c r="BB82" s="2" t="s">
        <v>819</v>
      </c>
      <c r="BC82" s="3" t="n">
        <v>45357</v>
      </c>
      <c r="BD82" s="2" t="s">
        <v>117</v>
      </c>
      <c r="BE82" s="2" t="s">
        <v>961</v>
      </c>
      <c r="BF82" s="2" t="s">
        <v>280</v>
      </c>
      <c r="BG82" s="2" t="s">
        <v>281</v>
      </c>
      <c r="BH82" s="2" t="s">
        <v>1505</v>
      </c>
      <c r="BI82" s="4" t="n">
        <v>238.25</v>
      </c>
      <c r="BJ82" s="2" t="n">
        <v>6358</v>
      </c>
      <c r="BK82" s="2" t="n">
        <v>311</v>
      </c>
      <c r="BL82" s="2" t="s">
        <v>113</v>
      </c>
      <c r="BM82" s="2" t="s">
        <v>117</v>
      </c>
      <c r="BN82" s="2" t="s">
        <v>177</v>
      </c>
      <c r="BO82" s="2" t="s">
        <v>142</v>
      </c>
      <c r="BP82" s="2" t="s">
        <v>823</v>
      </c>
      <c r="BQ82" s="2" t="n">
        <v>31.7</v>
      </c>
      <c r="BR82" s="2" t="n">
        <v>9</v>
      </c>
      <c r="BS82" s="2" t="s">
        <v>117</v>
      </c>
      <c r="BT82" s="2" t="n">
        <v>20</v>
      </c>
      <c r="BU82" s="2" t="n">
        <v>2.4</v>
      </c>
      <c r="BV82" s="2" t="n">
        <v>20</v>
      </c>
      <c r="BW82" s="3" t="n">
        <v>45447</v>
      </c>
      <c r="BX82" s="2" t="n">
        <v>3</v>
      </c>
      <c r="BY82" s="2" t="n">
        <v>116</v>
      </c>
      <c r="BZ82" s="2" t="s">
        <v>118</v>
      </c>
      <c r="CA82" s="2" t="n">
        <v>61</v>
      </c>
      <c r="CB82" s="2" t="n">
        <v>8</v>
      </c>
      <c r="CC82" s="2" t="n">
        <v>5</v>
      </c>
      <c r="CD82" s="2" t="n">
        <v>14</v>
      </c>
      <c r="CE82" s="4" t="n">
        <v>583.69</v>
      </c>
      <c r="CF82" s="5" t="n">
        <v>2.5</v>
      </c>
      <c r="CG82" s="2" t="n">
        <v>544</v>
      </c>
      <c r="CH82" s="2" t="s">
        <v>144</v>
      </c>
      <c r="CI82" s="2" t="s">
        <v>117</v>
      </c>
      <c r="CJ82" s="2" t="n">
        <v>1</v>
      </c>
      <c r="CK82" s="2" t="n">
        <v>15</v>
      </c>
      <c r="CL82" s="4" t="n">
        <v>308.34</v>
      </c>
      <c r="CM82" s="2" t="n">
        <v>315</v>
      </c>
      <c r="CN82" s="2" t="s">
        <v>118</v>
      </c>
      <c r="CO82" s="4" t="n">
        <f aca="false">AH82*AI82</f>
        <v>153.78</v>
      </c>
      <c r="CP82" s="4" t="n">
        <f aca="false">CO82*AJ82</f>
        <v>38.445</v>
      </c>
      <c r="CQ82" s="4" t="n">
        <f aca="false">(CO82-CP82)*AK82</f>
        <v>9.2268</v>
      </c>
      <c r="CR82" s="4" t="n">
        <f aca="false">CO82-CP82+CQ82+AL82</f>
        <v>144.7418</v>
      </c>
      <c r="CS82" s="4" t="n">
        <f aca="false">CR82-(AP82*AH82)-AL82</f>
        <v>47.6718</v>
      </c>
      <c r="CT82" s="5" t="n">
        <f aca="false">IFERROR(CS82/CR82,0)</f>
        <v>0.329357518007929</v>
      </c>
      <c r="CU82" s="6" t="n">
        <f aca="false">IFERROR(BK82/BJ82,0)</f>
        <v>0.0489147530670022</v>
      </c>
      <c r="CV82" s="2" t="n">
        <f aca="false">IF(AY82="N/A","N/A",AY82-AX82)</f>
        <v>1</v>
      </c>
    </row>
    <row r="83" customFormat="false" ht="15" hidden="false" customHeight="false" outlineLevel="0" collapsed="false">
      <c r="A83" s="2" t="s">
        <v>1506</v>
      </c>
      <c r="B83" s="2" t="s">
        <v>382</v>
      </c>
      <c r="C83" s="2" t="s">
        <v>383</v>
      </c>
      <c r="D83" s="2" t="s">
        <v>1507</v>
      </c>
      <c r="E83" s="2" t="s">
        <v>1508</v>
      </c>
      <c r="F83" s="2" t="s">
        <v>150</v>
      </c>
      <c r="G83" s="2" t="n">
        <v>69</v>
      </c>
      <c r="H83" s="3" t="n">
        <v>20811</v>
      </c>
      <c r="I83" s="2" t="s">
        <v>526</v>
      </c>
      <c r="J83" s="2" t="s">
        <v>527</v>
      </c>
      <c r="K83" s="2" t="s">
        <v>527</v>
      </c>
      <c r="L83" s="2" t="s">
        <v>528</v>
      </c>
      <c r="M83" s="2" t="s">
        <v>1509</v>
      </c>
      <c r="N83" s="3" t="n">
        <v>44429</v>
      </c>
      <c r="O83" s="2" t="s">
        <v>155</v>
      </c>
      <c r="P83" s="2" t="n">
        <v>4718</v>
      </c>
      <c r="Q83" s="2" t="s">
        <v>1510</v>
      </c>
      <c r="R83" s="2" t="s">
        <v>113</v>
      </c>
      <c r="S83" s="2" t="s">
        <v>114</v>
      </c>
      <c r="T83" s="2" t="s">
        <v>551</v>
      </c>
      <c r="U83" s="2" t="s">
        <v>130</v>
      </c>
      <c r="V83" s="2" t="s">
        <v>117</v>
      </c>
      <c r="W83" s="2" t="s">
        <v>117</v>
      </c>
      <c r="X83" s="2" t="s">
        <v>1511</v>
      </c>
      <c r="Y83" s="3" t="n">
        <v>45850</v>
      </c>
      <c r="Z83" s="2" t="s">
        <v>1512</v>
      </c>
      <c r="AA83" s="2" t="s">
        <v>161</v>
      </c>
      <c r="AB83" s="2" t="s">
        <v>342</v>
      </c>
      <c r="AC83" s="2" t="s">
        <v>1513</v>
      </c>
      <c r="AD83" s="2" t="s">
        <v>1514</v>
      </c>
      <c r="AE83" s="2" t="s">
        <v>395</v>
      </c>
      <c r="AF83" s="2" t="s">
        <v>396</v>
      </c>
      <c r="AG83" s="2" t="s">
        <v>763</v>
      </c>
      <c r="AH83" s="2" t="n">
        <v>5</v>
      </c>
      <c r="AI83" s="4" t="n">
        <v>46.42</v>
      </c>
      <c r="AJ83" s="5" t="n">
        <v>0</v>
      </c>
      <c r="AK83" s="5" t="n">
        <v>0.08</v>
      </c>
      <c r="AL83" s="4" t="n">
        <v>23.45</v>
      </c>
      <c r="AM83" s="2" t="s">
        <v>247</v>
      </c>
      <c r="AN83" s="2" t="s">
        <v>129</v>
      </c>
      <c r="AO83" s="2" t="s">
        <v>222</v>
      </c>
      <c r="AP83" s="4" t="n">
        <v>20.89</v>
      </c>
      <c r="AQ83" s="2" t="s">
        <v>1515</v>
      </c>
      <c r="AR83" s="2" t="s">
        <v>1516</v>
      </c>
      <c r="AS83" s="2" t="s">
        <v>527</v>
      </c>
      <c r="AT83" s="2" t="s">
        <v>526</v>
      </c>
      <c r="AU83" s="2" t="s">
        <v>172</v>
      </c>
      <c r="AV83" s="2" t="s">
        <v>351</v>
      </c>
      <c r="AW83" s="2" t="s">
        <v>1517</v>
      </c>
      <c r="AX83" s="3" t="n">
        <v>45853</v>
      </c>
      <c r="AY83" s="3" t="n">
        <v>45855</v>
      </c>
      <c r="AZ83" s="2" t="s">
        <v>203</v>
      </c>
      <c r="BA83" s="2" t="s">
        <v>118</v>
      </c>
      <c r="BB83" s="2" t="s">
        <v>113</v>
      </c>
      <c r="BC83" s="2" t="s">
        <v>113</v>
      </c>
      <c r="BD83" s="2" t="s">
        <v>118</v>
      </c>
      <c r="BE83" s="2" t="s">
        <v>113</v>
      </c>
      <c r="BF83" s="2" t="s">
        <v>226</v>
      </c>
      <c r="BG83" s="2" t="s">
        <v>1518</v>
      </c>
      <c r="BH83" s="2" t="s">
        <v>1519</v>
      </c>
      <c r="BI83" s="4" t="n">
        <v>7.26</v>
      </c>
      <c r="BJ83" s="2" t="n">
        <v>12221</v>
      </c>
      <c r="BK83" s="2" t="n">
        <v>1138</v>
      </c>
      <c r="BL83" s="2" t="s">
        <v>1520</v>
      </c>
      <c r="BM83" s="2" t="s">
        <v>118</v>
      </c>
      <c r="BN83" s="2" t="s">
        <v>304</v>
      </c>
      <c r="BO83" s="2" t="s">
        <v>207</v>
      </c>
      <c r="BP83" s="2" t="s">
        <v>259</v>
      </c>
      <c r="BQ83" s="2" t="n">
        <v>44</v>
      </c>
      <c r="BR83" s="2" t="n">
        <v>40</v>
      </c>
      <c r="BS83" s="2" t="s">
        <v>118</v>
      </c>
      <c r="BT83" s="2" t="n">
        <v>17</v>
      </c>
      <c r="BU83" s="2" t="n">
        <v>15.7</v>
      </c>
      <c r="BV83" s="2" t="n">
        <v>30</v>
      </c>
      <c r="BW83" s="3" t="n">
        <v>46010</v>
      </c>
      <c r="BX83" s="2" t="n">
        <v>2</v>
      </c>
      <c r="BY83" s="2" t="n">
        <v>53</v>
      </c>
      <c r="BZ83" s="2" t="s">
        <v>117</v>
      </c>
      <c r="CA83" s="2" t="n">
        <v>-75</v>
      </c>
      <c r="CB83" s="2" t="n">
        <v>10</v>
      </c>
      <c r="CC83" s="2" t="n">
        <v>3</v>
      </c>
      <c r="CD83" s="2" t="n">
        <v>56.1</v>
      </c>
      <c r="CE83" s="4" t="n">
        <v>283.67</v>
      </c>
      <c r="CF83" s="5" t="n">
        <v>48.7</v>
      </c>
      <c r="CG83" s="2" t="n">
        <v>306</v>
      </c>
      <c r="CH83" s="2" t="s">
        <v>283</v>
      </c>
      <c r="CI83" s="2" t="s">
        <v>117</v>
      </c>
      <c r="CJ83" s="2" t="n">
        <v>2</v>
      </c>
      <c r="CK83" s="2" t="n">
        <v>61</v>
      </c>
      <c r="CL83" s="4" t="n">
        <v>308.56</v>
      </c>
      <c r="CM83" s="2" t="n">
        <v>81</v>
      </c>
      <c r="CN83" s="2" t="s">
        <v>118</v>
      </c>
      <c r="CO83" s="4" t="n">
        <f aca="false">AH83*AI83</f>
        <v>232.1</v>
      </c>
      <c r="CP83" s="4" t="n">
        <f aca="false">CO83*AJ83</f>
        <v>0</v>
      </c>
      <c r="CQ83" s="4" t="n">
        <f aca="false">(CO83-CP83)*AK83</f>
        <v>18.568</v>
      </c>
      <c r="CR83" s="4" t="n">
        <f aca="false">CO83-CP83+CQ83+AL83</f>
        <v>274.118</v>
      </c>
      <c r="CS83" s="4" t="n">
        <f aca="false">CR83-(AP83*AH83)-AL83</f>
        <v>146.218</v>
      </c>
      <c r="CT83" s="5" t="n">
        <f aca="false">IFERROR(CS83/CR83,0)</f>
        <v>0.533412617923668</v>
      </c>
      <c r="CU83" s="6" t="n">
        <f aca="false">IFERROR(BK83/BJ83,0)</f>
        <v>0.0931184027493659</v>
      </c>
      <c r="CV83" s="2" t="n">
        <f aca="false">IF(AY83="N/A","N/A",AY83-AX83)</f>
        <v>2</v>
      </c>
    </row>
    <row r="84" customFormat="false" ht="15" hidden="false" customHeight="false" outlineLevel="0" collapsed="false">
      <c r="A84" s="2" t="s">
        <v>1521</v>
      </c>
      <c r="B84" s="2" t="s">
        <v>1522</v>
      </c>
      <c r="C84" s="2" t="s">
        <v>1523</v>
      </c>
      <c r="D84" s="2" t="s">
        <v>1524</v>
      </c>
      <c r="E84" s="2" t="s">
        <v>1525</v>
      </c>
      <c r="F84" s="2" t="s">
        <v>184</v>
      </c>
      <c r="G84" s="2" t="n">
        <v>41</v>
      </c>
      <c r="H84" s="3" t="n">
        <v>30809</v>
      </c>
      <c r="I84" s="2" t="s">
        <v>737</v>
      </c>
      <c r="J84" s="2" t="s">
        <v>738</v>
      </c>
      <c r="K84" s="2" t="s">
        <v>739</v>
      </c>
      <c r="L84" s="2" t="s">
        <v>740</v>
      </c>
      <c r="M84" s="2" t="s">
        <v>1526</v>
      </c>
      <c r="N84" s="3" t="n">
        <v>44130</v>
      </c>
      <c r="O84" s="2" t="s">
        <v>155</v>
      </c>
      <c r="P84" s="2" t="n">
        <v>3712</v>
      </c>
      <c r="Q84" s="2" t="s">
        <v>1527</v>
      </c>
      <c r="R84" s="2" t="s">
        <v>571</v>
      </c>
      <c r="S84" s="2" t="s">
        <v>114</v>
      </c>
      <c r="T84" s="2" t="s">
        <v>191</v>
      </c>
      <c r="U84" s="2" t="s">
        <v>116</v>
      </c>
      <c r="V84" s="2" t="s">
        <v>117</v>
      </c>
      <c r="W84" s="2" t="s">
        <v>117</v>
      </c>
      <c r="X84" s="2" t="s">
        <v>1528</v>
      </c>
      <c r="Y84" s="3" t="n">
        <v>45336</v>
      </c>
      <c r="Z84" s="2" t="s">
        <v>1529</v>
      </c>
      <c r="AA84" s="2" t="s">
        <v>161</v>
      </c>
      <c r="AB84" s="2" t="s">
        <v>122</v>
      </c>
      <c r="AC84" s="2" t="s">
        <v>1530</v>
      </c>
      <c r="AD84" s="2" t="s">
        <v>642</v>
      </c>
      <c r="AE84" s="2" t="s">
        <v>345</v>
      </c>
      <c r="AF84" s="2" t="s">
        <v>881</v>
      </c>
      <c r="AG84" s="2" t="s">
        <v>436</v>
      </c>
      <c r="AH84" s="2" t="n">
        <v>2</v>
      </c>
      <c r="AI84" s="4" t="n">
        <v>1420.32</v>
      </c>
      <c r="AJ84" s="5" t="n">
        <v>0.25</v>
      </c>
      <c r="AK84" s="5" t="n">
        <v>0.08</v>
      </c>
      <c r="AL84" s="4" t="n">
        <v>5.06</v>
      </c>
      <c r="AM84" s="2" t="s">
        <v>168</v>
      </c>
      <c r="AN84" s="2" t="s">
        <v>129</v>
      </c>
      <c r="AO84" s="2" t="s">
        <v>222</v>
      </c>
      <c r="AP84" s="4" t="n">
        <v>852.19</v>
      </c>
      <c r="AQ84" s="2" t="s">
        <v>1531</v>
      </c>
      <c r="AR84" s="2" t="s">
        <v>1532</v>
      </c>
      <c r="AS84" s="2" t="s">
        <v>739</v>
      </c>
      <c r="AT84" s="2" t="s">
        <v>737</v>
      </c>
      <c r="AU84" s="2" t="s">
        <v>251</v>
      </c>
      <c r="AV84" s="2" t="s">
        <v>351</v>
      </c>
      <c r="AW84" s="2" t="s">
        <v>1533</v>
      </c>
      <c r="AX84" s="3" t="n">
        <v>45346</v>
      </c>
      <c r="AY84" s="3" t="n">
        <v>45345</v>
      </c>
      <c r="AZ84" s="2" t="s">
        <v>136</v>
      </c>
      <c r="BA84" s="2" t="s">
        <v>118</v>
      </c>
      <c r="BB84" s="2" t="s">
        <v>113</v>
      </c>
      <c r="BC84" s="2" t="s">
        <v>113</v>
      </c>
      <c r="BD84" s="2" t="s">
        <v>118</v>
      </c>
      <c r="BE84" s="2" t="s">
        <v>113</v>
      </c>
      <c r="BF84" s="2" t="s">
        <v>280</v>
      </c>
      <c r="BG84" s="2" t="s">
        <v>281</v>
      </c>
      <c r="BH84" s="2" t="s">
        <v>1534</v>
      </c>
      <c r="BI84" s="4" t="n">
        <v>381.37</v>
      </c>
      <c r="BJ84" s="2" t="n">
        <v>14675</v>
      </c>
      <c r="BK84" s="2" t="n">
        <v>1340</v>
      </c>
      <c r="BL84" s="2" t="s">
        <v>769</v>
      </c>
      <c r="BM84" s="2" t="s">
        <v>118</v>
      </c>
      <c r="BN84" s="2" t="s">
        <v>177</v>
      </c>
      <c r="BO84" s="2" t="s">
        <v>142</v>
      </c>
      <c r="BP84" s="2" t="s">
        <v>328</v>
      </c>
      <c r="BQ84" s="2" t="n">
        <v>35.6</v>
      </c>
      <c r="BR84" s="2" t="n">
        <v>40</v>
      </c>
      <c r="BS84" s="2" t="s">
        <v>118</v>
      </c>
      <c r="BT84" s="2" t="n">
        <v>18</v>
      </c>
      <c r="BU84" s="2" t="n">
        <v>29.1</v>
      </c>
      <c r="BV84" s="2" t="n">
        <v>55</v>
      </c>
      <c r="BW84" s="3" t="n">
        <v>45571</v>
      </c>
      <c r="BX84" s="2" t="n">
        <v>5</v>
      </c>
      <c r="BY84" s="2" t="n">
        <v>22</v>
      </c>
      <c r="BZ84" s="2" t="s">
        <v>117</v>
      </c>
      <c r="CA84" s="2" t="n">
        <v>-17</v>
      </c>
      <c r="CB84" s="2" t="n">
        <v>4</v>
      </c>
      <c r="CC84" s="2" t="n">
        <v>0</v>
      </c>
      <c r="CD84" s="2" t="n">
        <v>0</v>
      </c>
      <c r="CE84" s="4" t="n">
        <v>3594.92</v>
      </c>
      <c r="CF84" s="5" t="n">
        <v>41.3</v>
      </c>
      <c r="CG84" s="2" t="n">
        <v>504</v>
      </c>
      <c r="CH84" s="2" t="s">
        <v>144</v>
      </c>
      <c r="CI84" s="2" t="s">
        <v>117</v>
      </c>
      <c r="CJ84" s="2" t="n">
        <v>3</v>
      </c>
      <c r="CK84" s="2" t="n">
        <v>76</v>
      </c>
      <c r="CL84" s="4" t="n">
        <v>294.62</v>
      </c>
      <c r="CM84" s="2" t="n">
        <v>236</v>
      </c>
      <c r="CN84" s="2" t="s">
        <v>118</v>
      </c>
      <c r="CO84" s="4" t="n">
        <f aca="false">AH84*AI84</f>
        <v>2840.64</v>
      </c>
      <c r="CP84" s="4" t="n">
        <f aca="false">CO84*AJ84</f>
        <v>710.16</v>
      </c>
      <c r="CQ84" s="4" t="n">
        <f aca="false">(CO84-CP84)*AK84</f>
        <v>170.4384</v>
      </c>
      <c r="CR84" s="4" t="n">
        <f aca="false">CO84-CP84+CQ84+AL84</f>
        <v>2305.9784</v>
      </c>
      <c r="CS84" s="4" t="n">
        <f aca="false">CR84-(AP84*AH84)-AL84</f>
        <v>596.5384</v>
      </c>
      <c r="CT84" s="5" t="n">
        <f aca="false">IFERROR(CS84/CR84,0)</f>
        <v>0.258692102233048</v>
      </c>
      <c r="CU84" s="6" t="n">
        <f aca="false">IFERROR(BK84/BJ84,0)</f>
        <v>0.0913117546848382</v>
      </c>
      <c r="CV84" s="2" t="n">
        <f aca="false">IF(AY84="N/A","N/A",AY84-AX84)</f>
        <v>-1</v>
      </c>
    </row>
    <row r="85" customFormat="false" ht="15" hidden="false" customHeight="false" outlineLevel="0" collapsed="false">
      <c r="A85" s="2" t="s">
        <v>1535</v>
      </c>
      <c r="B85" s="2" t="s">
        <v>825</v>
      </c>
      <c r="C85" s="2" t="s">
        <v>383</v>
      </c>
      <c r="D85" s="2" t="s">
        <v>1536</v>
      </c>
      <c r="E85" s="2" t="s">
        <v>1537</v>
      </c>
      <c r="F85" s="2" t="s">
        <v>184</v>
      </c>
      <c r="G85" s="2" t="n">
        <v>73</v>
      </c>
      <c r="H85" s="3" t="n">
        <v>19092</v>
      </c>
      <c r="I85" s="2" t="s">
        <v>487</v>
      </c>
      <c r="J85" s="2" t="s">
        <v>546</v>
      </c>
      <c r="K85" s="2" t="s">
        <v>547</v>
      </c>
      <c r="L85" s="2" t="s">
        <v>548</v>
      </c>
      <c r="M85" s="2" t="s">
        <v>1538</v>
      </c>
      <c r="N85" s="3" t="n">
        <v>44879</v>
      </c>
      <c r="O85" s="2" t="s">
        <v>311</v>
      </c>
      <c r="P85" s="2" t="n">
        <v>4847</v>
      </c>
      <c r="Q85" s="2" t="s">
        <v>1539</v>
      </c>
      <c r="R85" s="2" t="s">
        <v>113</v>
      </c>
      <c r="S85" s="2" t="s">
        <v>114</v>
      </c>
      <c r="T85" s="2" t="s">
        <v>722</v>
      </c>
      <c r="U85" s="2" t="s">
        <v>116</v>
      </c>
      <c r="V85" s="2" t="s">
        <v>117</v>
      </c>
      <c r="W85" s="2" t="s">
        <v>117</v>
      </c>
      <c r="X85" s="2" t="s">
        <v>1540</v>
      </c>
      <c r="Y85" s="3" t="n">
        <v>45444</v>
      </c>
      <c r="Z85" s="2" t="s">
        <v>1541</v>
      </c>
      <c r="AA85" s="2" t="s">
        <v>161</v>
      </c>
      <c r="AB85" s="2" t="s">
        <v>122</v>
      </c>
      <c r="AC85" s="2" t="s">
        <v>1542</v>
      </c>
      <c r="AD85" s="2" t="s">
        <v>124</v>
      </c>
      <c r="AE85" s="2" t="s">
        <v>125</v>
      </c>
      <c r="AF85" s="2" t="s">
        <v>589</v>
      </c>
      <c r="AG85" s="2" t="s">
        <v>474</v>
      </c>
      <c r="AH85" s="2" t="n">
        <v>1</v>
      </c>
      <c r="AI85" s="4" t="n">
        <v>148.76</v>
      </c>
      <c r="AJ85" s="5" t="n">
        <v>0</v>
      </c>
      <c r="AK85" s="5" t="n">
        <v>0.08</v>
      </c>
      <c r="AL85" s="4" t="n">
        <v>17.6</v>
      </c>
      <c r="AM85" s="2" t="s">
        <v>221</v>
      </c>
      <c r="AN85" s="2" t="s">
        <v>248</v>
      </c>
      <c r="AO85" s="2" t="s">
        <v>169</v>
      </c>
      <c r="AP85" s="4" t="n">
        <v>52.07</v>
      </c>
      <c r="AQ85" s="2" t="s">
        <v>1543</v>
      </c>
      <c r="AR85" s="2" t="s">
        <v>1544</v>
      </c>
      <c r="AS85" s="2" t="s">
        <v>547</v>
      </c>
      <c r="AT85" s="2" t="s">
        <v>487</v>
      </c>
      <c r="AU85" s="2" t="s">
        <v>172</v>
      </c>
      <c r="AV85" s="2" t="s">
        <v>351</v>
      </c>
      <c r="AW85" s="2" t="s">
        <v>1545</v>
      </c>
      <c r="AX85" s="3" t="n">
        <v>45452</v>
      </c>
      <c r="AY85" s="3" t="n">
        <v>45456</v>
      </c>
      <c r="AZ85" s="2" t="s">
        <v>136</v>
      </c>
      <c r="BA85" s="2" t="s">
        <v>118</v>
      </c>
      <c r="BB85" s="2" t="s">
        <v>113</v>
      </c>
      <c r="BC85" s="2" t="s">
        <v>113</v>
      </c>
      <c r="BD85" s="2" t="s">
        <v>118</v>
      </c>
      <c r="BE85" s="2" t="s">
        <v>113</v>
      </c>
      <c r="BF85" s="2" t="s">
        <v>137</v>
      </c>
      <c r="BG85" s="2" t="s">
        <v>138</v>
      </c>
      <c r="BH85" s="2" t="s">
        <v>1546</v>
      </c>
      <c r="BI85" s="4" t="n">
        <v>289.74</v>
      </c>
      <c r="BJ85" s="2" t="n">
        <v>3311</v>
      </c>
      <c r="BK85" s="2" t="n">
        <v>236</v>
      </c>
      <c r="BL85" s="2" t="s">
        <v>853</v>
      </c>
      <c r="BM85" s="2" t="s">
        <v>118</v>
      </c>
      <c r="BN85" s="2" t="s">
        <v>177</v>
      </c>
      <c r="BO85" s="2" t="s">
        <v>178</v>
      </c>
      <c r="BP85" s="2" t="s">
        <v>259</v>
      </c>
      <c r="BQ85" s="2" t="n">
        <v>15.4</v>
      </c>
      <c r="BR85" s="2" t="n">
        <v>4</v>
      </c>
      <c r="BS85" s="2" t="s">
        <v>118</v>
      </c>
      <c r="BT85" s="2" t="n">
        <v>11</v>
      </c>
      <c r="BU85" s="2" t="n">
        <v>26.8</v>
      </c>
      <c r="BV85" s="2" t="n">
        <v>8</v>
      </c>
      <c r="BW85" s="3" t="n">
        <v>45836</v>
      </c>
      <c r="BX85" s="2" t="n">
        <v>5</v>
      </c>
      <c r="BY85" s="2" t="n">
        <v>93</v>
      </c>
      <c r="BZ85" s="2" t="s">
        <v>118</v>
      </c>
      <c r="CA85" s="2" t="n">
        <v>77</v>
      </c>
      <c r="CB85" s="2" t="n">
        <v>7</v>
      </c>
      <c r="CC85" s="2" t="n">
        <v>1</v>
      </c>
      <c r="CD85" s="2" t="n">
        <v>10</v>
      </c>
      <c r="CE85" s="4" t="n">
        <v>4472.07</v>
      </c>
      <c r="CF85" s="5" t="n">
        <v>64.8</v>
      </c>
      <c r="CG85" s="2" t="n">
        <v>392</v>
      </c>
      <c r="CH85" s="2" t="s">
        <v>283</v>
      </c>
      <c r="CI85" s="2" t="s">
        <v>117</v>
      </c>
      <c r="CJ85" s="2" t="n">
        <v>2</v>
      </c>
      <c r="CK85" s="2" t="n">
        <v>72</v>
      </c>
      <c r="CL85" s="4" t="n">
        <v>428.83</v>
      </c>
      <c r="CM85" s="2" t="n">
        <v>287</v>
      </c>
      <c r="CN85" s="2" t="s">
        <v>118</v>
      </c>
      <c r="CO85" s="4" t="n">
        <f aca="false">AH85*AI85</f>
        <v>148.76</v>
      </c>
      <c r="CP85" s="4" t="n">
        <f aca="false">CO85*AJ85</f>
        <v>0</v>
      </c>
      <c r="CQ85" s="4" t="n">
        <f aca="false">(CO85-CP85)*AK85</f>
        <v>11.9008</v>
      </c>
      <c r="CR85" s="4" t="n">
        <f aca="false">CO85-CP85+CQ85+AL85</f>
        <v>178.2608</v>
      </c>
      <c r="CS85" s="4" t="n">
        <f aca="false">CR85-(AP85*AH85)-AL85</f>
        <v>108.5908</v>
      </c>
      <c r="CT85" s="5" t="n">
        <f aca="false">IFERROR(CS85/CR85,0)</f>
        <v>0.609168140163177</v>
      </c>
      <c r="CU85" s="6" t="n">
        <f aca="false">IFERROR(BK85/BJ85,0)</f>
        <v>0.0712775596496527</v>
      </c>
      <c r="CV85" s="2" t="n">
        <f aca="false">IF(AY85="N/A","N/A",AY85-AX85)</f>
        <v>4</v>
      </c>
    </row>
    <row r="86" customFormat="false" ht="15" hidden="false" customHeight="false" outlineLevel="0" collapsed="false">
      <c r="A86" s="2" t="s">
        <v>1547</v>
      </c>
      <c r="B86" s="2" t="s">
        <v>1548</v>
      </c>
      <c r="C86" s="2" t="s">
        <v>650</v>
      </c>
      <c r="D86" s="2" t="s">
        <v>1549</v>
      </c>
      <c r="E86" s="2" t="s">
        <v>1550</v>
      </c>
      <c r="F86" s="2" t="s">
        <v>150</v>
      </c>
      <c r="G86" s="2" t="n">
        <v>33</v>
      </c>
      <c r="H86" s="3" t="n">
        <v>33851</v>
      </c>
      <c r="I86" s="2" t="s">
        <v>807</v>
      </c>
      <c r="J86" s="2" t="s">
        <v>808</v>
      </c>
      <c r="K86" s="2" t="s">
        <v>809</v>
      </c>
      <c r="L86" s="2" t="s">
        <v>810</v>
      </c>
      <c r="M86" s="2" t="s">
        <v>1551</v>
      </c>
      <c r="N86" s="3" t="n">
        <v>43960</v>
      </c>
      <c r="O86" s="2" t="s">
        <v>111</v>
      </c>
      <c r="P86" s="2" t="n">
        <v>1846</v>
      </c>
      <c r="Q86" s="2" t="s">
        <v>1552</v>
      </c>
      <c r="R86" s="2" t="s">
        <v>113</v>
      </c>
      <c r="S86" s="2" t="s">
        <v>114</v>
      </c>
      <c r="T86" s="2" t="s">
        <v>365</v>
      </c>
      <c r="U86" s="2" t="s">
        <v>222</v>
      </c>
      <c r="V86" s="2" t="s">
        <v>118</v>
      </c>
      <c r="W86" s="2" t="s">
        <v>117</v>
      </c>
      <c r="X86" s="2" t="s">
        <v>1553</v>
      </c>
      <c r="Y86" s="3" t="n">
        <v>45620</v>
      </c>
      <c r="Z86" s="2" t="s">
        <v>1554</v>
      </c>
      <c r="AA86" s="2" t="s">
        <v>161</v>
      </c>
      <c r="AB86" s="2" t="s">
        <v>218</v>
      </c>
      <c r="AC86" s="2" t="s">
        <v>1555</v>
      </c>
      <c r="AD86" s="2" t="s">
        <v>316</v>
      </c>
      <c r="AE86" s="2" t="s">
        <v>317</v>
      </c>
      <c r="AF86" s="2" t="s">
        <v>1420</v>
      </c>
      <c r="AG86" s="2" t="s">
        <v>535</v>
      </c>
      <c r="AH86" s="2" t="n">
        <v>3</v>
      </c>
      <c r="AI86" s="4" t="n">
        <v>49.58</v>
      </c>
      <c r="AJ86" s="5" t="n">
        <v>0.15</v>
      </c>
      <c r="AK86" s="5" t="n">
        <v>0.08</v>
      </c>
      <c r="AL86" s="4" t="n">
        <v>8.67</v>
      </c>
      <c r="AM86" s="2" t="s">
        <v>198</v>
      </c>
      <c r="AN86" s="2" t="s">
        <v>129</v>
      </c>
      <c r="AO86" s="2" t="s">
        <v>169</v>
      </c>
      <c r="AP86" s="4" t="n">
        <v>24.79</v>
      </c>
      <c r="AQ86" s="2" t="s">
        <v>1556</v>
      </c>
      <c r="AR86" s="2" t="s">
        <v>1557</v>
      </c>
      <c r="AS86" s="2" t="s">
        <v>809</v>
      </c>
      <c r="AT86" s="2" t="s">
        <v>807</v>
      </c>
      <c r="AU86" s="2" t="s">
        <v>133</v>
      </c>
      <c r="AV86" s="2" t="s">
        <v>351</v>
      </c>
      <c r="AW86" s="2" t="s">
        <v>1558</v>
      </c>
      <c r="AX86" s="3" t="n">
        <v>45627</v>
      </c>
      <c r="AY86" s="3" t="n">
        <v>45632</v>
      </c>
      <c r="AZ86" s="2" t="s">
        <v>175</v>
      </c>
      <c r="BA86" s="2" t="s">
        <v>118</v>
      </c>
      <c r="BB86" s="2" t="s">
        <v>113</v>
      </c>
      <c r="BC86" s="2" t="s">
        <v>113</v>
      </c>
      <c r="BD86" s="2" t="s">
        <v>118</v>
      </c>
      <c r="BE86" s="2" t="s">
        <v>113</v>
      </c>
      <c r="BF86" s="2" t="s">
        <v>255</v>
      </c>
      <c r="BG86" s="2" t="s">
        <v>423</v>
      </c>
      <c r="BH86" s="2" t="s">
        <v>1559</v>
      </c>
      <c r="BI86" s="4" t="n">
        <v>208.79</v>
      </c>
      <c r="BJ86" s="2" t="n">
        <v>4120</v>
      </c>
      <c r="BK86" s="2" t="n">
        <v>486</v>
      </c>
      <c r="BL86" s="2" t="s">
        <v>1560</v>
      </c>
      <c r="BM86" s="2" t="s">
        <v>118</v>
      </c>
      <c r="BN86" s="2" t="s">
        <v>304</v>
      </c>
      <c r="BO86" s="2" t="s">
        <v>229</v>
      </c>
      <c r="BP86" s="2" t="s">
        <v>328</v>
      </c>
      <c r="BQ86" s="2" t="n">
        <v>30.1</v>
      </c>
      <c r="BR86" s="2" t="n">
        <v>34</v>
      </c>
      <c r="BS86" s="2" t="s">
        <v>118</v>
      </c>
      <c r="BT86" s="2" t="n">
        <v>14</v>
      </c>
      <c r="BU86" s="2" t="n">
        <v>14.3</v>
      </c>
      <c r="BV86" s="2" t="n">
        <v>37</v>
      </c>
      <c r="BW86" s="3" t="n">
        <v>45687</v>
      </c>
      <c r="BX86" s="2" t="n">
        <v>5</v>
      </c>
      <c r="BY86" s="2" t="n">
        <v>78</v>
      </c>
      <c r="BZ86" s="2" t="s">
        <v>117</v>
      </c>
      <c r="CA86" s="2" t="n">
        <v>77</v>
      </c>
      <c r="CB86" s="2" t="n">
        <v>2</v>
      </c>
      <c r="CC86" s="2" t="n">
        <v>1</v>
      </c>
      <c r="CD86" s="2" t="n">
        <v>64.3</v>
      </c>
      <c r="CE86" s="4" t="n">
        <v>6895.22</v>
      </c>
      <c r="CF86" s="5" t="n">
        <v>8</v>
      </c>
      <c r="CG86" s="2" t="n">
        <v>483</v>
      </c>
      <c r="CH86" s="2" t="s">
        <v>329</v>
      </c>
      <c r="CI86" s="2" t="s">
        <v>117</v>
      </c>
      <c r="CJ86" s="2" t="n">
        <v>5</v>
      </c>
      <c r="CK86" s="2" t="n">
        <v>37</v>
      </c>
      <c r="CL86" s="4" t="n">
        <v>466.45</v>
      </c>
      <c r="CM86" s="2" t="n">
        <v>24</v>
      </c>
      <c r="CN86" s="2" t="s">
        <v>117</v>
      </c>
      <c r="CO86" s="4" t="n">
        <f aca="false">AH86*AI86</f>
        <v>148.74</v>
      </c>
      <c r="CP86" s="4" t="n">
        <f aca="false">CO86*AJ86</f>
        <v>22.311</v>
      </c>
      <c r="CQ86" s="4" t="n">
        <f aca="false">(CO86-CP86)*AK86</f>
        <v>10.11432</v>
      </c>
      <c r="CR86" s="4" t="n">
        <f aca="false">CO86-CP86+CQ86+AL86</f>
        <v>145.21332</v>
      </c>
      <c r="CS86" s="4" t="n">
        <f aca="false">CR86-(AP86*AH86)-AL86</f>
        <v>62.17332</v>
      </c>
      <c r="CT86" s="5" t="n">
        <f aca="false">IFERROR(CS86/CR86,0)</f>
        <v>0.428151632370915</v>
      </c>
      <c r="CU86" s="6" t="n">
        <f aca="false">IFERROR(BK86/BJ86,0)</f>
        <v>0.117961165048544</v>
      </c>
      <c r="CV86" s="2" t="n">
        <f aca="false">IF(AY86="N/A","N/A",AY86-AX86)</f>
        <v>5</v>
      </c>
    </row>
    <row r="87" customFormat="false" ht="15" hidden="false" customHeight="false" outlineLevel="0" collapsed="false">
      <c r="A87" s="2" t="s">
        <v>910</v>
      </c>
      <c r="B87" s="2" t="s">
        <v>1480</v>
      </c>
      <c r="C87" s="2" t="s">
        <v>771</v>
      </c>
      <c r="D87" s="2" t="s">
        <v>1561</v>
      </c>
      <c r="E87" s="2" t="s">
        <v>1562</v>
      </c>
      <c r="F87" s="2" t="s">
        <v>105</v>
      </c>
      <c r="G87" s="2" t="n">
        <v>57</v>
      </c>
      <c r="H87" s="3" t="n">
        <v>24920</v>
      </c>
      <c r="I87" s="2" t="s">
        <v>335</v>
      </c>
      <c r="J87" s="2" t="s">
        <v>508</v>
      </c>
      <c r="K87" s="2" t="s">
        <v>508</v>
      </c>
      <c r="L87" s="2" t="s">
        <v>509</v>
      </c>
      <c r="M87" s="2" t="s">
        <v>1563</v>
      </c>
      <c r="N87" s="3" t="n">
        <v>44269</v>
      </c>
      <c r="O87" s="2" t="s">
        <v>155</v>
      </c>
      <c r="P87" s="2" t="n">
        <v>1436</v>
      </c>
      <c r="Q87" s="2" t="s">
        <v>1564</v>
      </c>
      <c r="R87" s="2" t="s">
        <v>113</v>
      </c>
      <c r="S87" s="2" t="s">
        <v>114</v>
      </c>
      <c r="T87" s="2" t="s">
        <v>115</v>
      </c>
      <c r="U87" s="2" t="s">
        <v>215</v>
      </c>
      <c r="V87" s="2" t="s">
        <v>117</v>
      </c>
      <c r="W87" s="2" t="s">
        <v>117</v>
      </c>
      <c r="X87" s="2" t="s">
        <v>1565</v>
      </c>
      <c r="Y87" s="3" t="n">
        <v>46017</v>
      </c>
      <c r="Z87" s="2" t="s">
        <v>1566</v>
      </c>
      <c r="AA87" s="2" t="s">
        <v>161</v>
      </c>
      <c r="AB87" s="2" t="s">
        <v>342</v>
      </c>
      <c r="AC87" s="2" t="s">
        <v>1567</v>
      </c>
      <c r="AD87" s="2" t="s">
        <v>220</v>
      </c>
      <c r="AE87" s="2" t="s">
        <v>165</v>
      </c>
      <c r="AF87" s="2" t="s">
        <v>1568</v>
      </c>
      <c r="AG87" s="2" t="s">
        <v>167</v>
      </c>
      <c r="AH87" s="2" t="n">
        <v>1</v>
      </c>
      <c r="AI87" s="4" t="n">
        <v>32.08</v>
      </c>
      <c r="AJ87" s="5" t="n">
        <v>0.15</v>
      </c>
      <c r="AK87" s="5" t="n">
        <v>0.08</v>
      </c>
      <c r="AL87" s="4" t="n">
        <v>17.23</v>
      </c>
      <c r="AM87" s="2" t="s">
        <v>128</v>
      </c>
      <c r="AN87" s="2" t="s">
        <v>129</v>
      </c>
      <c r="AO87" s="2" t="s">
        <v>169</v>
      </c>
      <c r="AP87" s="4" t="n">
        <v>16.04</v>
      </c>
      <c r="AQ87" s="2" t="s">
        <v>1569</v>
      </c>
      <c r="AR87" s="2" t="s">
        <v>1570</v>
      </c>
      <c r="AS87" s="2" t="s">
        <v>508</v>
      </c>
      <c r="AT87" s="2" t="s">
        <v>335</v>
      </c>
      <c r="AU87" s="2" t="s">
        <v>133</v>
      </c>
      <c r="AV87" s="2" t="s">
        <v>375</v>
      </c>
      <c r="AW87" s="2" t="s">
        <v>1571</v>
      </c>
      <c r="AX87" s="3" t="n">
        <v>46021</v>
      </c>
      <c r="AY87" s="3" t="n">
        <v>46026</v>
      </c>
      <c r="AZ87" s="2" t="s">
        <v>136</v>
      </c>
      <c r="BA87" s="2" t="s">
        <v>118</v>
      </c>
      <c r="BB87" s="2" t="s">
        <v>113</v>
      </c>
      <c r="BC87" s="2" t="s">
        <v>113</v>
      </c>
      <c r="BD87" s="2" t="s">
        <v>118</v>
      </c>
      <c r="BE87" s="2" t="s">
        <v>113</v>
      </c>
      <c r="BF87" s="2" t="s">
        <v>353</v>
      </c>
      <c r="BG87" s="2" t="s">
        <v>713</v>
      </c>
      <c r="BH87" s="2" t="s">
        <v>1572</v>
      </c>
      <c r="BI87" s="4" t="n">
        <v>225.76</v>
      </c>
      <c r="BJ87" s="2" t="n">
        <v>18531</v>
      </c>
      <c r="BK87" s="2" t="n">
        <v>147</v>
      </c>
      <c r="BL87" s="2" t="s">
        <v>1573</v>
      </c>
      <c r="BM87" s="2" t="s">
        <v>118</v>
      </c>
      <c r="BN87" s="2" t="s">
        <v>304</v>
      </c>
      <c r="BO87" s="2" t="s">
        <v>207</v>
      </c>
      <c r="BP87" s="2" t="s">
        <v>328</v>
      </c>
      <c r="BQ87" s="2" t="n">
        <v>9.2</v>
      </c>
      <c r="BR87" s="2" t="n">
        <v>34</v>
      </c>
      <c r="BS87" s="2" t="s">
        <v>117</v>
      </c>
      <c r="BT87" s="2" t="n">
        <v>8</v>
      </c>
      <c r="BU87" s="2" t="n">
        <v>6.7</v>
      </c>
      <c r="BV87" s="2" t="n">
        <v>6</v>
      </c>
      <c r="BW87" s="3" t="n">
        <v>46021</v>
      </c>
      <c r="BX87" s="2" t="n">
        <v>4</v>
      </c>
      <c r="BY87" s="2" t="n">
        <v>114</v>
      </c>
      <c r="BZ87" s="2" t="s">
        <v>118</v>
      </c>
      <c r="CA87" s="2" t="n">
        <v>-59</v>
      </c>
      <c r="CB87" s="2" t="n">
        <v>9</v>
      </c>
      <c r="CC87" s="2" t="n">
        <v>2</v>
      </c>
      <c r="CD87" s="2" t="n">
        <v>9.2</v>
      </c>
      <c r="CE87" s="4" t="n">
        <v>422.63</v>
      </c>
      <c r="CF87" s="5" t="n">
        <v>93.1</v>
      </c>
      <c r="CG87" s="2" t="n">
        <v>448</v>
      </c>
      <c r="CH87" s="2" t="s">
        <v>283</v>
      </c>
      <c r="CI87" s="2" t="s">
        <v>118</v>
      </c>
      <c r="CJ87" s="2" t="n">
        <v>6</v>
      </c>
      <c r="CK87" s="2" t="n">
        <v>25</v>
      </c>
      <c r="CL87" s="4" t="n">
        <v>304.47</v>
      </c>
      <c r="CM87" s="2" t="n">
        <v>308</v>
      </c>
      <c r="CN87" s="2" t="s">
        <v>118</v>
      </c>
      <c r="CO87" s="4" t="n">
        <f aca="false">AH87*AI87</f>
        <v>32.08</v>
      </c>
      <c r="CP87" s="4" t="n">
        <f aca="false">CO87*AJ87</f>
        <v>4.812</v>
      </c>
      <c r="CQ87" s="4" t="n">
        <f aca="false">(CO87-CP87)*AK87</f>
        <v>2.18144</v>
      </c>
      <c r="CR87" s="4" t="n">
        <f aca="false">CO87-CP87+CQ87+AL87</f>
        <v>46.67944</v>
      </c>
      <c r="CS87" s="4" t="n">
        <f aca="false">CR87-(AP87*AH87)-AL87</f>
        <v>13.40944</v>
      </c>
      <c r="CT87" s="5" t="n">
        <f aca="false">IFERROR(CS87/CR87,0)</f>
        <v>0.287266513908479</v>
      </c>
      <c r="CU87" s="6" t="n">
        <f aca="false">IFERROR(BK87/BJ87,0)</f>
        <v>0.00793265339161405</v>
      </c>
      <c r="CV87" s="2" t="n">
        <f aca="false">IF(AY87="N/A","N/A",AY87-AX87)</f>
        <v>5</v>
      </c>
    </row>
    <row r="88" customFormat="false" ht="15" hidden="false" customHeight="false" outlineLevel="0" collapsed="false">
      <c r="A88" s="2" t="s">
        <v>1574</v>
      </c>
      <c r="B88" s="2" t="s">
        <v>935</v>
      </c>
      <c r="C88" s="2" t="s">
        <v>734</v>
      </c>
      <c r="D88" s="2" t="s">
        <v>1575</v>
      </c>
      <c r="E88" s="2" t="s">
        <v>1576</v>
      </c>
      <c r="F88" s="2" t="s">
        <v>150</v>
      </c>
      <c r="G88" s="2" t="n">
        <v>43</v>
      </c>
      <c r="H88" s="3" t="n">
        <v>30033</v>
      </c>
      <c r="I88" s="2" t="s">
        <v>737</v>
      </c>
      <c r="J88" s="2" t="s">
        <v>738</v>
      </c>
      <c r="K88" s="2" t="s">
        <v>739</v>
      </c>
      <c r="L88" s="2" t="s">
        <v>740</v>
      </c>
      <c r="M88" s="2" t="s">
        <v>1577</v>
      </c>
      <c r="N88" s="3" t="n">
        <v>44615</v>
      </c>
      <c r="O88" s="2" t="s">
        <v>155</v>
      </c>
      <c r="P88" s="2" t="n">
        <v>99</v>
      </c>
      <c r="Q88" s="2" t="s">
        <v>1578</v>
      </c>
      <c r="R88" s="2" t="s">
        <v>1181</v>
      </c>
      <c r="S88" s="2" t="s">
        <v>114</v>
      </c>
      <c r="T88" s="2" t="s">
        <v>365</v>
      </c>
      <c r="U88" s="2" t="s">
        <v>271</v>
      </c>
      <c r="V88" s="2" t="s">
        <v>117</v>
      </c>
      <c r="W88" s="2" t="s">
        <v>117</v>
      </c>
      <c r="X88" s="2" t="s">
        <v>1579</v>
      </c>
      <c r="Y88" s="3" t="n">
        <v>45583</v>
      </c>
      <c r="Z88" s="2" t="s">
        <v>1580</v>
      </c>
      <c r="AA88" s="2" t="s">
        <v>161</v>
      </c>
      <c r="AB88" s="2" t="s">
        <v>122</v>
      </c>
      <c r="AC88" s="2" t="s">
        <v>1581</v>
      </c>
      <c r="AD88" s="2" t="s">
        <v>316</v>
      </c>
      <c r="AE88" s="2" t="s">
        <v>317</v>
      </c>
      <c r="AF88" s="2" t="s">
        <v>1420</v>
      </c>
      <c r="AG88" s="2" t="s">
        <v>372</v>
      </c>
      <c r="AH88" s="2" t="n">
        <v>5</v>
      </c>
      <c r="AI88" s="4" t="n">
        <v>70.63</v>
      </c>
      <c r="AJ88" s="5" t="n">
        <v>0.25</v>
      </c>
      <c r="AK88" s="5" t="n">
        <v>0.08</v>
      </c>
      <c r="AL88" s="4" t="n">
        <v>12.35</v>
      </c>
      <c r="AM88" s="2" t="s">
        <v>128</v>
      </c>
      <c r="AN88" s="2" t="s">
        <v>129</v>
      </c>
      <c r="AO88" s="2" t="s">
        <v>169</v>
      </c>
      <c r="AP88" s="4" t="n">
        <v>35.31</v>
      </c>
      <c r="AQ88" s="2" t="s">
        <v>1582</v>
      </c>
      <c r="AR88" s="2" t="s">
        <v>1583</v>
      </c>
      <c r="AS88" s="2" t="s">
        <v>739</v>
      </c>
      <c r="AT88" s="2" t="s">
        <v>737</v>
      </c>
      <c r="AU88" s="2" t="s">
        <v>251</v>
      </c>
      <c r="AV88" s="2" t="s">
        <v>375</v>
      </c>
      <c r="AW88" s="2" t="s">
        <v>1584</v>
      </c>
      <c r="AX88" s="3" t="n">
        <v>45591</v>
      </c>
      <c r="AY88" s="3" t="n">
        <v>45596</v>
      </c>
      <c r="AZ88" s="2" t="s">
        <v>136</v>
      </c>
      <c r="BA88" s="2" t="s">
        <v>118</v>
      </c>
      <c r="BB88" s="2" t="s">
        <v>113</v>
      </c>
      <c r="BC88" s="2" t="s">
        <v>113</v>
      </c>
      <c r="BD88" s="2" t="s">
        <v>118</v>
      </c>
      <c r="BE88" s="2" t="s">
        <v>113</v>
      </c>
      <c r="BF88" s="2" t="s">
        <v>226</v>
      </c>
      <c r="BG88" s="2" t="s">
        <v>767</v>
      </c>
      <c r="BH88" s="2" t="s">
        <v>1585</v>
      </c>
      <c r="BI88" s="4" t="n">
        <v>211.49</v>
      </c>
      <c r="BJ88" s="2" t="n">
        <v>13988</v>
      </c>
      <c r="BK88" s="2" t="n">
        <v>1701</v>
      </c>
      <c r="BL88" s="2" t="s">
        <v>113</v>
      </c>
      <c r="BM88" s="2" t="s">
        <v>118</v>
      </c>
      <c r="BN88" s="2" t="s">
        <v>141</v>
      </c>
      <c r="BO88" s="2" t="s">
        <v>229</v>
      </c>
      <c r="BP88" s="2" t="s">
        <v>143</v>
      </c>
      <c r="BQ88" s="2" t="n">
        <v>11.4</v>
      </c>
      <c r="BR88" s="2" t="n">
        <v>8</v>
      </c>
      <c r="BS88" s="2" t="s">
        <v>118</v>
      </c>
      <c r="BT88" s="2" t="n">
        <v>15</v>
      </c>
      <c r="BU88" s="2" t="n">
        <v>29.8</v>
      </c>
      <c r="BV88" s="2" t="n">
        <v>5</v>
      </c>
      <c r="BW88" s="3" t="n">
        <v>45889</v>
      </c>
      <c r="BX88" s="2" t="n">
        <v>3</v>
      </c>
      <c r="BY88" s="2" t="n">
        <v>92</v>
      </c>
      <c r="BZ88" s="2" t="s">
        <v>118</v>
      </c>
      <c r="CA88" s="2" t="n">
        <v>-23</v>
      </c>
      <c r="CB88" s="2" t="n">
        <v>8</v>
      </c>
      <c r="CC88" s="2" t="n">
        <v>4</v>
      </c>
      <c r="CD88" s="2" t="n">
        <v>71</v>
      </c>
      <c r="CE88" s="4" t="n">
        <v>1038.43</v>
      </c>
      <c r="CF88" s="5" t="n">
        <v>96</v>
      </c>
      <c r="CG88" s="2" t="n">
        <v>684</v>
      </c>
      <c r="CH88" s="2" t="s">
        <v>144</v>
      </c>
      <c r="CI88" s="2" t="s">
        <v>117</v>
      </c>
      <c r="CJ88" s="2" t="n">
        <v>4</v>
      </c>
      <c r="CK88" s="2" t="n">
        <v>61</v>
      </c>
      <c r="CL88" s="4" t="n">
        <v>585.07</v>
      </c>
      <c r="CM88" s="2" t="n">
        <v>61</v>
      </c>
      <c r="CN88" s="2" t="s">
        <v>118</v>
      </c>
      <c r="CO88" s="4" t="n">
        <f aca="false">AH88*AI88</f>
        <v>353.15</v>
      </c>
      <c r="CP88" s="4" t="n">
        <f aca="false">CO88*AJ88</f>
        <v>88.2875</v>
      </c>
      <c r="CQ88" s="4" t="n">
        <f aca="false">(CO88-CP88)*AK88</f>
        <v>21.189</v>
      </c>
      <c r="CR88" s="4" t="n">
        <f aca="false">CO88-CP88+CQ88+AL88</f>
        <v>298.4015</v>
      </c>
      <c r="CS88" s="4" t="n">
        <f aca="false">CR88-(AP88*AH88)-AL88</f>
        <v>109.5015</v>
      </c>
      <c r="CT88" s="5" t="n">
        <f aca="false">IFERROR(CS88/CR88,0)</f>
        <v>0.366960286727781</v>
      </c>
      <c r="CU88" s="6" t="n">
        <f aca="false">IFERROR(BK88/BJ88,0)</f>
        <v>0.121604232199028</v>
      </c>
      <c r="CV88" s="2" t="n">
        <f aca="false">IF(AY88="N/A","N/A",AY88-AX88)</f>
        <v>5</v>
      </c>
    </row>
    <row r="89" customFormat="false" ht="15" hidden="false" customHeight="false" outlineLevel="0" collapsed="false">
      <c r="A89" s="2" t="s">
        <v>1586</v>
      </c>
      <c r="B89" s="2" t="s">
        <v>825</v>
      </c>
      <c r="C89" s="2" t="s">
        <v>505</v>
      </c>
      <c r="D89" s="2" t="s">
        <v>1587</v>
      </c>
      <c r="E89" s="2" t="s">
        <v>1588</v>
      </c>
      <c r="F89" s="2" t="s">
        <v>105</v>
      </c>
      <c r="G89" s="2" t="n">
        <v>72</v>
      </c>
      <c r="H89" s="3" t="n">
        <v>19485</v>
      </c>
      <c r="I89" s="2" t="s">
        <v>151</v>
      </c>
      <c r="J89" s="2" t="s">
        <v>152</v>
      </c>
      <c r="K89" s="2" t="s">
        <v>152</v>
      </c>
      <c r="L89" s="2" t="s">
        <v>153</v>
      </c>
      <c r="M89" s="2" t="s">
        <v>1589</v>
      </c>
      <c r="N89" s="3" t="n">
        <v>43340</v>
      </c>
      <c r="O89" s="2" t="s">
        <v>155</v>
      </c>
      <c r="P89" s="2" t="n">
        <v>3776</v>
      </c>
      <c r="Q89" s="2" t="s">
        <v>1590</v>
      </c>
      <c r="R89" s="2" t="s">
        <v>113</v>
      </c>
      <c r="S89" s="2" t="s">
        <v>114</v>
      </c>
      <c r="T89" s="2" t="s">
        <v>191</v>
      </c>
      <c r="U89" s="2" t="s">
        <v>215</v>
      </c>
      <c r="V89" s="2" t="s">
        <v>117</v>
      </c>
      <c r="W89" s="2" t="s">
        <v>117</v>
      </c>
      <c r="X89" s="2" t="s">
        <v>1591</v>
      </c>
      <c r="Y89" s="3" t="n">
        <v>46001</v>
      </c>
      <c r="Z89" s="2" t="s">
        <v>1592</v>
      </c>
      <c r="AA89" s="2" t="s">
        <v>161</v>
      </c>
      <c r="AB89" s="2" t="s">
        <v>218</v>
      </c>
      <c r="AC89" s="2" t="s">
        <v>1593</v>
      </c>
      <c r="AD89" s="2" t="s">
        <v>1514</v>
      </c>
      <c r="AE89" s="2" t="s">
        <v>395</v>
      </c>
      <c r="AF89" s="2" t="s">
        <v>396</v>
      </c>
      <c r="AG89" s="2" t="s">
        <v>763</v>
      </c>
      <c r="AH89" s="2" t="n">
        <v>3</v>
      </c>
      <c r="AI89" s="4" t="n">
        <v>85.84</v>
      </c>
      <c r="AJ89" s="5" t="n">
        <v>0.15</v>
      </c>
      <c r="AK89" s="5" t="n">
        <v>0.08</v>
      </c>
      <c r="AL89" s="4" t="n">
        <v>5.45</v>
      </c>
      <c r="AM89" s="2" t="s">
        <v>247</v>
      </c>
      <c r="AN89" s="2" t="s">
        <v>129</v>
      </c>
      <c r="AO89" s="2" t="s">
        <v>271</v>
      </c>
      <c r="AP89" s="4" t="n">
        <v>38.63</v>
      </c>
      <c r="AQ89" s="2" t="s">
        <v>1594</v>
      </c>
      <c r="AR89" s="2" t="s">
        <v>1595</v>
      </c>
      <c r="AS89" s="2" t="s">
        <v>152</v>
      </c>
      <c r="AT89" s="2" t="s">
        <v>151</v>
      </c>
      <c r="AU89" s="2" t="s">
        <v>172</v>
      </c>
      <c r="AV89" s="2" t="s">
        <v>278</v>
      </c>
      <c r="AW89" s="2" t="s">
        <v>1596</v>
      </c>
      <c r="AX89" s="3" t="n">
        <v>46003</v>
      </c>
      <c r="AY89" s="3" t="n">
        <v>46005</v>
      </c>
      <c r="AZ89" s="2" t="s">
        <v>301</v>
      </c>
      <c r="BA89" s="2" t="s">
        <v>118</v>
      </c>
      <c r="BB89" s="2" t="s">
        <v>113</v>
      </c>
      <c r="BC89" s="2" t="s">
        <v>113</v>
      </c>
      <c r="BD89" s="2" t="s">
        <v>118</v>
      </c>
      <c r="BE89" s="2" t="s">
        <v>113</v>
      </c>
      <c r="BF89" s="2" t="s">
        <v>204</v>
      </c>
      <c r="BG89" s="2" t="s">
        <v>1209</v>
      </c>
      <c r="BH89" s="2" t="s">
        <v>1597</v>
      </c>
      <c r="BI89" s="4" t="n">
        <v>458.44</v>
      </c>
      <c r="BJ89" s="2" t="n">
        <v>2617</v>
      </c>
      <c r="BK89" s="2" t="n">
        <v>268</v>
      </c>
      <c r="BL89" s="2" t="s">
        <v>520</v>
      </c>
      <c r="BM89" s="2" t="s">
        <v>118</v>
      </c>
      <c r="BN89" s="2" t="s">
        <v>141</v>
      </c>
      <c r="BO89" s="2" t="s">
        <v>207</v>
      </c>
      <c r="BP89" s="2" t="s">
        <v>143</v>
      </c>
      <c r="BQ89" s="2" t="n">
        <v>21.8</v>
      </c>
      <c r="BR89" s="2" t="n">
        <v>20</v>
      </c>
      <c r="BS89" s="2" t="s">
        <v>118</v>
      </c>
      <c r="BT89" s="2" t="n">
        <v>4</v>
      </c>
      <c r="BU89" s="2" t="n">
        <v>24.7</v>
      </c>
      <c r="BV89" s="2" t="n">
        <v>57</v>
      </c>
      <c r="BW89" s="3" t="n">
        <v>46020</v>
      </c>
      <c r="BX89" s="2" t="n">
        <v>5</v>
      </c>
      <c r="BY89" s="2" t="n">
        <v>133</v>
      </c>
      <c r="BZ89" s="2" t="s">
        <v>118</v>
      </c>
      <c r="CA89" s="2" t="n">
        <v>-58</v>
      </c>
      <c r="CB89" s="2" t="n">
        <v>9</v>
      </c>
      <c r="CC89" s="2" t="n">
        <v>2</v>
      </c>
      <c r="CD89" s="2" t="n">
        <v>62.9</v>
      </c>
      <c r="CE89" s="4" t="n">
        <v>12410.99</v>
      </c>
      <c r="CF89" s="5" t="n">
        <v>68.5</v>
      </c>
      <c r="CG89" s="2" t="n">
        <v>608</v>
      </c>
      <c r="CH89" s="2" t="s">
        <v>329</v>
      </c>
      <c r="CI89" s="2" t="s">
        <v>117</v>
      </c>
      <c r="CJ89" s="2" t="n">
        <v>4</v>
      </c>
      <c r="CK89" s="2" t="n">
        <v>4</v>
      </c>
      <c r="CL89" s="4" t="n">
        <v>451.79</v>
      </c>
      <c r="CM89" s="2" t="n">
        <v>60</v>
      </c>
      <c r="CN89" s="2" t="s">
        <v>118</v>
      </c>
      <c r="CO89" s="4" t="n">
        <f aca="false">AH89*AI89</f>
        <v>257.52</v>
      </c>
      <c r="CP89" s="4" t="n">
        <f aca="false">CO89*AJ89</f>
        <v>38.628</v>
      </c>
      <c r="CQ89" s="4" t="n">
        <f aca="false">(CO89-CP89)*AK89</f>
        <v>17.51136</v>
      </c>
      <c r="CR89" s="4" t="n">
        <f aca="false">CO89-CP89+CQ89+AL89</f>
        <v>241.85336</v>
      </c>
      <c r="CS89" s="4" t="n">
        <f aca="false">CR89-(AP89*AH89)-AL89</f>
        <v>120.51336</v>
      </c>
      <c r="CT89" s="5" t="n">
        <f aca="false">IFERROR(CS89/CR89,0)</f>
        <v>0.498291030564967</v>
      </c>
      <c r="CU89" s="6" t="n">
        <f aca="false">IFERROR(BK89/BJ89,0)</f>
        <v>0.102407336645013</v>
      </c>
      <c r="CV89" s="2" t="n">
        <f aca="false">IF(AY89="N/A","N/A",AY89-AX89)</f>
        <v>2</v>
      </c>
    </row>
    <row r="90" customFormat="false" ht="15" hidden="false" customHeight="false" outlineLevel="0" collapsed="false">
      <c r="A90" s="2" t="s">
        <v>1598</v>
      </c>
      <c r="B90" s="2" t="s">
        <v>359</v>
      </c>
      <c r="C90" s="2" t="s">
        <v>826</v>
      </c>
      <c r="D90" s="2" t="s">
        <v>1599</v>
      </c>
      <c r="E90" s="2" t="s">
        <v>1600</v>
      </c>
      <c r="F90" s="2" t="s">
        <v>184</v>
      </c>
      <c r="G90" s="2" t="n">
        <v>32</v>
      </c>
      <c r="H90" s="3" t="n">
        <v>34094</v>
      </c>
      <c r="I90" s="2" t="s">
        <v>599</v>
      </c>
      <c r="J90" s="2" t="s">
        <v>667</v>
      </c>
      <c r="K90" s="2" t="s">
        <v>668</v>
      </c>
      <c r="L90" s="2" t="s">
        <v>669</v>
      </c>
      <c r="M90" s="2" t="s">
        <v>1601</v>
      </c>
      <c r="N90" s="3" t="n">
        <v>43634</v>
      </c>
      <c r="O90" s="2" t="s">
        <v>859</v>
      </c>
      <c r="P90" s="2" t="n">
        <v>3480</v>
      </c>
      <c r="Q90" s="2" t="s">
        <v>1602</v>
      </c>
      <c r="R90" s="2" t="s">
        <v>1603</v>
      </c>
      <c r="S90" s="2" t="s">
        <v>190</v>
      </c>
      <c r="T90" s="2" t="s">
        <v>191</v>
      </c>
      <c r="U90" s="2" t="s">
        <v>215</v>
      </c>
      <c r="V90" s="2" t="s">
        <v>117</v>
      </c>
      <c r="W90" s="2" t="s">
        <v>118</v>
      </c>
      <c r="X90" s="2" t="s">
        <v>1604</v>
      </c>
      <c r="Y90" s="3" t="n">
        <v>45999</v>
      </c>
      <c r="Z90" s="2" t="s">
        <v>1605</v>
      </c>
      <c r="AA90" s="2" t="s">
        <v>161</v>
      </c>
      <c r="AB90" s="2" t="s">
        <v>162</v>
      </c>
      <c r="AC90" s="2" t="s">
        <v>1606</v>
      </c>
      <c r="AD90" s="2" t="s">
        <v>624</v>
      </c>
      <c r="AE90" s="2" t="s">
        <v>625</v>
      </c>
      <c r="AF90" s="2" t="s">
        <v>1137</v>
      </c>
      <c r="AG90" s="2" t="s">
        <v>865</v>
      </c>
      <c r="AH90" s="2" t="n">
        <v>4</v>
      </c>
      <c r="AI90" s="4" t="n">
        <v>138.26</v>
      </c>
      <c r="AJ90" s="5" t="n">
        <v>0</v>
      </c>
      <c r="AK90" s="5" t="n">
        <v>0.08</v>
      </c>
      <c r="AL90" s="4" t="n">
        <v>20.49</v>
      </c>
      <c r="AM90" s="2" t="s">
        <v>221</v>
      </c>
      <c r="AN90" s="2" t="s">
        <v>129</v>
      </c>
      <c r="AO90" s="2" t="s">
        <v>130</v>
      </c>
      <c r="AP90" s="4" t="n">
        <v>62.22</v>
      </c>
      <c r="AQ90" s="2" t="s">
        <v>1607</v>
      </c>
      <c r="AR90" s="2" t="s">
        <v>1608</v>
      </c>
      <c r="AS90" s="2" t="s">
        <v>668</v>
      </c>
      <c r="AT90" s="2" t="s">
        <v>599</v>
      </c>
      <c r="AU90" s="2" t="s">
        <v>251</v>
      </c>
      <c r="AV90" s="2" t="s">
        <v>173</v>
      </c>
      <c r="AW90" s="2" t="s">
        <v>1609</v>
      </c>
      <c r="AX90" s="3" t="n">
        <v>46004</v>
      </c>
      <c r="AY90" s="3" t="n">
        <v>46003</v>
      </c>
      <c r="AZ90" s="2" t="s">
        <v>301</v>
      </c>
      <c r="BA90" s="2" t="s">
        <v>118</v>
      </c>
      <c r="BB90" s="2" t="s">
        <v>113</v>
      </c>
      <c r="BC90" s="2" t="s">
        <v>113</v>
      </c>
      <c r="BD90" s="2" t="s">
        <v>118</v>
      </c>
      <c r="BE90" s="2" t="s">
        <v>113</v>
      </c>
      <c r="BF90" s="2" t="s">
        <v>137</v>
      </c>
      <c r="BG90" s="2" t="s">
        <v>1039</v>
      </c>
      <c r="BH90" s="2" t="s">
        <v>1610</v>
      </c>
      <c r="BI90" s="4" t="n">
        <v>426.39</v>
      </c>
      <c r="BJ90" s="2" t="n">
        <v>19537</v>
      </c>
      <c r="BK90" s="2" t="n">
        <v>247</v>
      </c>
      <c r="BL90" s="2" t="s">
        <v>113</v>
      </c>
      <c r="BM90" s="2" t="s">
        <v>118</v>
      </c>
      <c r="BN90" s="2" t="s">
        <v>177</v>
      </c>
      <c r="BO90" s="2" t="s">
        <v>142</v>
      </c>
      <c r="BP90" s="2" t="s">
        <v>143</v>
      </c>
      <c r="BQ90" s="2" t="n">
        <v>8.7</v>
      </c>
      <c r="BR90" s="2" t="n">
        <v>7</v>
      </c>
      <c r="BS90" s="2" t="s">
        <v>117</v>
      </c>
      <c r="BT90" s="2" t="n">
        <v>11</v>
      </c>
      <c r="BU90" s="2" t="n">
        <v>29.5</v>
      </c>
      <c r="BV90" s="2" t="n">
        <v>28</v>
      </c>
      <c r="BW90" s="3" t="n">
        <v>46005</v>
      </c>
      <c r="BX90" s="2" t="n">
        <v>2</v>
      </c>
      <c r="BY90" s="2" t="n">
        <v>131</v>
      </c>
      <c r="BZ90" s="2" t="s">
        <v>117</v>
      </c>
      <c r="CA90" s="2" t="n">
        <v>70</v>
      </c>
      <c r="CB90" s="2" t="n">
        <v>1</v>
      </c>
      <c r="CC90" s="2" t="n">
        <v>0</v>
      </c>
      <c r="CD90" s="2" t="n">
        <v>0</v>
      </c>
      <c r="CE90" s="4" t="n">
        <v>11746.44</v>
      </c>
      <c r="CF90" s="5" t="n">
        <v>92</v>
      </c>
      <c r="CG90" s="2" t="n">
        <v>510</v>
      </c>
      <c r="CH90" s="2" t="s">
        <v>283</v>
      </c>
      <c r="CI90" s="2" t="s">
        <v>118</v>
      </c>
      <c r="CJ90" s="2" t="n">
        <v>5</v>
      </c>
      <c r="CK90" s="2" t="n">
        <v>16</v>
      </c>
      <c r="CL90" s="4" t="n">
        <v>290.22</v>
      </c>
      <c r="CM90" s="2" t="n">
        <v>266</v>
      </c>
      <c r="CN90" s="2" t="s">
        <v>117</v>
      </c>
      <c r="CO90" s="4" t="n">
        <f aca="false">AH90*AI90</f>
        <v>553.04</v>
      </c>
      <c r="CP90" s="4" t="n">
        <f aca="false">CO90*AJ90</f>
        <v>0</v>
      </c>
      <c r="CQ90" s="4" t="n">
        <f aca="false">(CO90-CP90)*AK90</f>
        <v>44.2432</v>
      </c>
      <c r="CR90" s="4" t="n">
        <f aca="false">CO90-CP90+CQ90+AL90</f>
        <v>617.7732</v>
      </c>
      <c r="CS90" s="4" t="n">
        <f aca="false">CR90-(AP90*AH90)-AL90</f>
        <v>348.4032</v>
      </c>
      <c r="CT90" s="5" t="n">
        <f aca="false">IFERROR(CS90/CR90,0)</f>
        <v>0.563966193418556</v>
      </c>
      <c r="CU90" s="6" t="n">
        <f aca="false">IFERROR(BK90/BJ90,0)</f>
        <v>0.0126426779955981</v>
      </c>
      <c r="CV90" s="2" t="n">
        <f aca="false">IF(AY90="N/A","N/A",AY90-AX90)</f>
        <v>-1</v>
      </c>
    </row>
    <row r="91" customFormat="false" ht="15" hidden="false" customHeight="false" outlineLevel="0" collapsed="false">
      <c r="A91" s="2" t="s">
        <v>1611</v>
      </c>
      <c r="B91" s="2" t="s">
        <v>1612</v>
      </c>
      <c r="C91" s="2" t="s">
        <v>1613</v>
      </c>
      <c r="D91" s="2" t="s">
        <v>1614</v>
      </c>
      <c r="E91" s="2" t="s">
        <v>1615</v>
      </c>
      <c r="F91" s="2" t="s">
        <v>184</v>
      </c>
      <c r="G91" s="2" t="n">
        <v>36</v>
      </c>
      <c r="H91" s="3" t="n">
        <v>32775</v>
      </c>
      <c r="I91" s="2" t="s">
        <v>265</v>
      </c>
      <c r="J91" s="2" t="s">
        <v>448</v>
      </c>
      <c r="K91" s="2" t="s">
        <v>449</v>
      </c>
      <c r="L91" s="2" t="s">
        <v>450</v>
      </c>
      <c r="M91" s="2" t="s">
        <v>1616</v>
      </c>
      <c r="N91" s="3" t="n">
        <v>43437</v>
      </c>
      <c r="O91" s="2" t="s">
        <v>155</v>
      </c>
      <c r="P91" s="2" t="n">
        <v>947</v>
      </c>
      <c r="Q91" s="2" t="s">
        <v>1617</v>
      </c>
      <c r="R91" s="2" t="s">
        <v>1071</v>
      </c>
      <c r="S91" s="2" t="s">
        <v>114</v>
      </c>
      <c r="T91" s="2" t="s">
        <v>551</v>
      </c>
      <c r="U91" s="2" t="s">
        <v>130</v>
      </c>
      <c r="V91" s="2" t="s">
        <v>117</v>
      </c>
      <c r="W91" s="2" t="s">
        <v>118</v>
      </c>
      <c r="X91" s="2" t="s">
        <v>1618</v>
      </c>
      <c r="Y91" s="3" t="n">
        <v>45686</v>
      </c>
      <c r="Z91" s="2" t="s">
        <v>1619</v>
      </c>
      <c r="AA91" s="2" t="s">
        <v>161</v>
      </c>
      <c r="AB91" s="2" t="s">
        <v>342</v>
      </c>
      <c r="AC91" s="2" t="s">
        <v>1620</v>
      </c>
      <c r="AD91" s="2" t="s">
        <v>1404</v>
      </c>
      <c r="AE91" s="2" t="s">
        <v>317</v>
      </c>
      <c r="AF91" s="2" t="s">
        <v>318</v>
      </c>
      <c r="AG91" s="2" t="s">
        <v>535</v>
      </c>
      <c r="AH91" s="2" t="n">
        <v>4</v>
      </c>
      <c r="AI91" s="4" t="n">
        <v>158.43</v>
      </c>
      <c r="AJ91" s="5" t="n">
        <v>0.2</v>
      </c>
      <c r="AK91" s="5" t="n">
        <v>0.08</v>
      </c>
      <c r="AL91" s="4" t="n">
        <v>11.9</v>
      </c>
      <c r="AM91" s="2" t="s">
        <v>247</v>
      </c>
      <c r="AN91" s="2" t="s">
        <v>557</v>
      </c>
      <c r="AO91" s="2" t="s">
        <v>116</v>
      </c>
      <c r="AP91" s="4" t="n">
        <v>79.22</v>
      </c>
      <c r="AQ91" s="2" t="s">
        <v>1621</v>
      </c>
      <c r="AR91" s="2" t="s">
        <v>1622</v>
      </c>
      <c r="AS91" s="2" t="s">
        <v>449</v>
      </c>
      <c r="AT91" s="2" t="s">
        <v>265</v>
      </c>
      <c r="AU91" s="2" t="s">
        <v>251</v>
      </c>
      <c r="AV91" s="2" t="s">
        <v>201</v>
      </c>
      <c r="AW91" s="2" t="s">
        <v>1623</v>
      </c>
      <c r="AX91" s="3" t="n">
        <v>45692</v>
      </c>
      <c r="AY91" s="3" t="n">
        <v>45696</v>
      </c>
      <c r="AZ91" s="2" t="s">
        <v>301</v>
      </c>
      <c r="BA91" s="2" t="s">
        <v>118</v>
      </c>
      <c r="BB91" s="2" t="s">
        <v>113</v>
      </c>
      <c r="BC91" s="2" t="s">
        <v>113</v>
      </c>
      <c r="BD91" s="2" t="s">
        <v>118</v>
      </c>
      <c r="BE91" s="2" t="s">
        <v>113</v>
      </c>
      <c r="BF91" s="2" t="s">
        <v>226</v>
      </c>
      <c r="BG91" s="2" t="s">
        <v>1518</v>
      </c>
      <c r="BH91" s="2" t="s">
        <v>1624</v>
      </c>
      <c r="BI91" s="4" t="n">
        <v>251.15</v>
      </c>
      <c r="BJ91" s="2" t="n">
        <v>15686</v>
      </c>
      <c r="BK91" s="2" t="n">
        <v>1510</v>
      </c>
      <c r="BL91" s="2" t="s">
        <v>113</v>
      </c>
      <c r="BM91" s="2" t="s">
        <v>117</v>
      </c>
      <c r="BN91" s="2" t="s">
        <v>177</v>
      </c>
      <c r="BO91" s="2" t="s">
        <v>258</v>
      </c>
      <c r="BP91" s="2" t="s">
        <v>143</v>
      </c>
      <c r="BQ91" s="2" t="n">
        <v>4.9</v>
      </c>
      <c r="BR91" s="2" t="n">
        <v>4</v>
      </c>
      <c r="BS91" s="2" t="s">
        <v>118</v>
      </c>
      <c r="BT91" s="2" t="n">
        <v>15</v>
      </c>
      <c r="BU91" s="2" t="n">
        <v>20.7</v>
      </c>
      <c r="BV91" s="2" t="n">
        <v>12</v>
      </c>
      <c r="BW91" s="3" t="n">
        <v>45881</v>
      </c>
      <c r="BX91" s="2" t="n">
        <v>4</v>
      </c>
      <c r="BY91" s="2" t="n">
        <v>83</v>
      </c>
      <c r="BZ91" s="2" t="s">
        <v>117</v>
      </c>
      <c r="CA91" s="2" t="n">
        <v>33</v>
      </c>
      <c r="CB91" s="2" t="n">
        <v>2</v>
      </c>
      <c r="CC91" s="2" t="n">
        <v>0</v>
      </c>
      <c r="CD91" s="2" t="n">
        <v>0</v>
      </c>
      <c r="CE91" s="4" t="n">
        <v>2193.35</v>
      </c>
      <c r="CF91" s="5" t="n">
        <v>40.1</v>
      </c>
      <c r="CG91" s="2" t="n">
        <v>404</v>
      </c>
      <c r="CH91" s="2" t="s">
        <v>144</v>
      </c>
      <c r="CI91" s="2" t="s">
        <v>118</v>
      </c>
      <c r="CJ91" s="2" t="n">
        <v>1</v>
      </c>
      <c r="CK91" s="2" t="n">
        <v>67</v>
      </c>
      <c r="CL91" s="4" t="n">
        <v>465.19</v>
      </c>
      <c r="CM91" s="2" t="n">
        <v>238</v>
      </c>
      <c r="CN91" s="2" t="s">
        <v>118</v>
      </c>
      <c r="CO91" s="4" t="n">
        <f aca="false">AH91*AI91</f>
        <v>633.72</v>
      </c>
      <c r="CP91" s="4" t="n">
        <f aca="false">CO91*AJ91</f>
        <v>126.744</v>
      </c>
      <c r="CQ91" s="4" t="n">
        <f aca="false">(CO91-CP91)*AK91</f>
        <v>40.55808</v>
      </c>
      <c r="CR91" s="4" t="n">
        <f aca="false">CO91-CP91+CQ91+AL91</f>
        <v>559.43408</v>
      </c>
      <c r="CS91" s="4" t="n">
        <f aca="false">CR91-(AP91*AH91)-AL91</f>
        <v>230.65408</v>
      </c>
      <c r="CT91" s="5" t="n">
        <f aca="false">IFERROR(CS91/CR91,0)</f>
        <v>0.412298943246361</v>
      </c>
      <c r="CU91" s="6" t="n">
        <f aca="false">IFERROR(BK91/BJ91,0)</f>
        <v>0.0962641846232309</v>
      </c>
      <c r="CV91" s="2" t="n">
        <f aca="false">IF(AY91="N/A","N/A",AY91-AX91)</f>
        <v>4</v>
      </c>
    </row>
    <row r="92" customFormat="false" ht="15" hidden="false" customHeight="false" outlineLevel="0" collapsed="false">
      <c r="A92" s="2" t="s">
        <v>1625</v>
      </c>
      <c r="B92" s="2" t="s">
        <v>444</v>
      </c>
      <c r="C92" s="2" t="s">
        <v>465</v>
      </c>
      <c r="D92" s="2" t="s">
        <v>1626</v>
      </c>
      <c r="E92" s="2" t="s">
        <v>1627</v>
      </c>
      <c r="F92" s="2" t="s">
        <v>150</v>
      </c>
      <c r="G92" s="2" t="n">
        <v>50</v>
      </c>
      <c r="H92" s="3" t="n">
        <v>27532</v>
      </c>
      <c r="I92" s="2" t="s">
        <v>487</v>
      </c>
      <c r="J92" s="2" t="s">
        <v>546</v>
      </c>
      <c r="K92" s="2" t="s">
        <v>547</v>
      </c>
      <c r="L92" s="2" t="s">
        <v>548</v>
      </c>
      <c r="M92" s="2" t="s">
        <v>1628</v>
      </c>
      <c r="N92" s="3" t="n">
        <v>45315</v>
      </c>
      <c r="O92" s="2" t="s">
        <v>311</v>
      </c>
      <c r="P92" s="2" t="n">
        <v>258</v>
      </c>
      <c r="Q92" s="2" t="s">
        <v>1629</v>
      </c>
      <c r="R92" s="2" t="s">
        <v>1410</v>
      </c>
      <c r="S92" s="2" t="s">
        <v>1062</v>
      </c>
      <c r="T92" s="2" t="s">
        <v>191</v>
      </c>
      <c r="U92" s="2" t="s">
        <v>130</v>
      </c>
      <c r="V92" s="2" t="s">
        <v>117</v>
      </c>
      <c r="W92" s="2" t="s">
        <v>118</v>
      </c>
      <c r="X92" s="2" t="s">
        <v>1630</v>
      </c>
      <c r="Y92" s="3" t="n">
        <v>45732</v>
      </c>
      <c r="Z92" s="2" t="s">
        <v>1631</v>
      </c>
      <c r="AA92" s="2" t="s">
        <v>414</v>
      </c>
      <c r="AB92" s="2" t="s">
        <v>162</v>
      </c>
      <c r="AC92" s="2" t="s">
        <v>1632</v>
      </c>
      <c r="AD92" s="2" t="s">
        <v>726</v>
      </c>
      <c r="AE92" s="2" t="s">
        <v>345</v>
      </c>
      <c r="AF92" s="2" t="s">
        <v>346</v>
      </c>
      <c r="AG92" s="2" t="s">
        <v>418</v>
      </c>
      <c r="AH92" s="2" t="n">
        <v>4</v>
      </c>
      <c r="AI92" s="4" t="n">
        <v>813.32</v>
      </c>
      <c r="AJ92" s="5" t="n">
        <v>0</v>
      </c>
      <c r="AK92" s="5" t="n">
        <v>0.08</v>
      </c>
      <c r="AL92" s="4" t="n">
        <v>20.92</v>
      </c>
      <c r="AM92" s="2" t="s">
        <v>419</v>
      </c>
      <c r="AN92" s="2" t="s">
        <v>475</v>
      </c>
      <c r="AO92" s="2" t="s">
        <v>222</v>
      </c>
      <c r="AP92" s="4" t="n">
        <v>487.99</v>
      </c>
      <c r="AQ92" s="2" t="s">
        <v>1633</v>
      </c>
      <c r="AR92" s="2" t="s">
        <v>1634</v>
      </c>
      <c r="AS92" s="2" t="s">
        <v>547</v>
      </c>
      <c r="AT92" s="2" t="s">
        <v>487</v>
      </c>
      <c r="AU92" s="2" t="s">
        <v>350</v>
      </c>
      <c r="AV92" s="2" t="s">
        <v>351</v>
      </c>
      <c r="AW92" s="2" t="s">
        <v>1635</v>
      </c>
      <c r="AX92" s="3" t="n">
        <v>45734</v>
      </c>
      <c r="AY92" s="2" t="s">
        <v>113</v>
      </c>
      <c r="AZ92" s="2" t="s">
        <v>203</v>
      </c>
      <c r="BA92" s="2" t="s">
        <v>118</v>
      </c>
      <c r="BB92" s="2" t="s">
        <v>113</v>
      </c>
      <c r="BC92" s="2" t="s">
        <v>113</v>
      </c>
      <c r="BD92" s="2" t="s">
        <v>118</v>
      </c>
      <c r="BE92" s="2" t="s">
        <v>113</v>
      </c>
      <c r="BF92" s="2" t="s">
        <v>226</v>
      </c>
      <c r="BG92" s="2" t="s">
        <v>1518</v>
      </c>
      <c r="BH92" s="2" t="s">
        <v>1636</v>
      </c>
      <c r="BI92" s="4" t="n">
        <v>178.88</v>
      </c>
      <c r="BJ92" s="2" t="n">
        <v>10030</v>
      </c>
      <c r="BK92" s="2" t="n">
        <v>1451</v>
      </c>
      <c r="BL92" s="2" t="s">
        <v>113</v>
      </c>
      <c r="BM92" s="2" t="s">
        <v>117</v>
      </c>
      <c r="BN92" s="2" t="s">
        <v>304</v>
      </c>
      <c r="BO92" s="2" t="s">
        <v>258</v>
      </c>
      <c r="BP92" s="2" t="s">
        <v>143</v>
      </c>
      <c r="BQ92" s="2" t="n">
        <v>29.3</v>
      </c>
      <c r="BR92" s="2" t="n">
        <v>38</v>
      </c>
      <c r="BS92" s="2" t="s">
        <v>117</v>
      </c>
      <c r="BT92" s="2" t="n">
        <v>2</v>
      </c>
      <c r="BU92" s="2" t="n">
        <v>26.2</v>
      </c>
      <c r="BV92" s="2" t="n">
        <v>8</v>
      </c>
      <c r="BW92" s="3" t="n">
        <v>45904</v>
      </c>
      <c r="BX92" s="2" t="n">
        <v>4</v>
      </c>
      <c r="BY92" s="2" t="n">
        <v>43</v>
      </c>
      <c r="BZ92" s="2" t="s">
        <v>117</v>
      </c>
      <c r="CA92" s="2" t="n">
        <v>-1</v>
      </c>
      <c r="CB92" s="2" t="n">
        <v>8</v>
      </c>
      <c r="CC92" s="2" t="n">
        <v>0</v>
      </c>
      <c r="CD92" s="2" t="n">
        <v>0</v>
      </c>
      <c r="CE92" s="4" t="n">
        <v>8554.39</v>
      </c>
      <c r="CF92" s="5" t="n">
        <v>49.1</v>
      </c>
      <c r="CG92" s="2" t="n">
        <v>781</v>
      </c>
      <c r="CH92" s="2" t="s">
        <v>329</v>
      </c>
      <c r="CI92" s="2" t="s">
        <v>117</v>
      </c>
      <c r="CJ92" s="2" t="n">
        <v>10</v>
      </c>
      <c r="CK92" s="2" t="n">
        <v>55</v>
      </c>
      <c r="CL92" s="4" t="n">
        <v>349.47</v>
      </c>
      <c r="CM92" s="2" t="n">
        <v>215</v>
      </c>
      <c r="CN92" s="2" t="s">
        <v>118</v>
      </c>
      <c r="CO92" s="4" t="n">
        <f aca="false">AH92*AI92</f>
        <v>3253.28</v>
      </c>
      <c r="CP92" s="4" t="n">
        <f aca="false">CO92*AJ92</f>
        <v>0</v>
      </c>
      <c r="CQ92" s="4" t="n">
        <f aca="false">(CO92-CP92)*AK92</f>
        <v>260.2624</v>
      </c>
      <c r="CR92" s="4" t="n">
        <f aca="false">CO92-CP92+CQ92+AL92</f>
        <v>3534.4624</v>
      </c>
      <c r="CS92" s="4" t="n">
        <f aca="false">CR92-(AP92*AH92)-AL92</f>
        <v>1561.5824</v>
      </c>
      <c r="CT92" s="5" t="n">
        <f aca="false">IFERROR(CS92/CR92,0)</f>
        <v>0.441816101933918</v>
      </c>
      <c r="CU92" s="6" t="n">
        <f aca="false">IFERROR(BK92/BJ92,0)</f>
        <v>0.144666001994018</v>
      </c>
      <c r="CV92" s="2" t="str">
        <f aca="false">IF(AY92="N/A","N/A",AY92-AX92)</f>
        <v>N/A</v>
      </c>
    </row>
    <row r="93" customFormat="false" ht="15" hidden="false" customHeight="false" outlineLevel="0" collapsed="false">
      <c r="A93" s="2" t="s">
        <v>1637</v>
      </c>
      <c r="B93" s="2" t="s">
        <v>1057</v>
      </c>
      <c r="C93" s="2" t="s">
        <v>1638</v>
      </c>
      <c r="D93" s="2" t="s">
        <v>1639</v>
      </c>
      <c r="E93" s="2" t="s">
        <v>1640</v>
      </c>
      <c r="F93" s="2" t="s">
        <v>184</v>
      </c>
      <c r="G93" s="2" t="n">
        <v>19</v>
      </c>
      <c r="H93" s="3" t="n">
        <v>38881</v>
      </c>
      <c r="I93" s="2" t="s">
        <v>151</v>
      </c>
      <c r="J93" s="2" t="s">
        <v>152</v>
      </c>
      <c r="K93" s="2" t="s">
        <v>152</v>
      </c>
      <c r="L93" s="2" t="s">
        <v>153</v>
      </c>
      <c r="M93" s="2" t="s">
        <v>1641</v>
      </c>
      <c r="N93" s="3" t="n">
        <v>44699</v>
      </c>
      <c r="O93" s="2" t="s">
        <v>155</v>
      </c>
      <c r="P93" s="2" t="n">
        <v>800</v>
      </c>
      <c r="Q93" s="2" t="s">
        <v>1642</v>
      </c>
      <c r="R93" s="2" t="s">
        <v>113</v>
      </c>
      <c r="S93" s="2" t="s">
        <v>114</v>
      </c>
      <c r="T93" s="2" t="s">
        <v>722</v>
      </c>
      <c r="U93" s="2" t="s">
        <v>130</v>
      </c>
      <c r="V93" s="2" t="s">
        <v>118</v>
      </c>
      <c r="W93" s="2" t="s">
        <v>117</v>
      </c>
      <c r="X93" s="2" t="s">
        <v>1643</v>
      </c>
      <c r="Y93" s="3" t="n">
        <v>45792</v>
      </c>
      <c r="Z93" s="2" t="s">
        <v>1644</v>
      </c>
      <c r="AA93" s="2" t="s">
        <v>161</v>
      </c>
      <c r="AB93" s="2" t="s">
        <v>122</v>
      </c>
      <c r="AC93" s="2" t="s">
        <v>1645</v>
      </c>
      <c r="AD93" s="2" t="s">
        <v>344</v>
      </c>
      <c r="AE93" s="2" t="s">
        <v>345</v>
      </c>
      <c r="AF93" s="2" t="s">
        <v>1310</v>
      </c>
      <c r="AG93" s="2" t="s">
        <v>347</v>
      </c>
      <c r="AH93" s="2" t="n">
        <v>5</v>
      </c>
      <c r="AI93" s="4" t="n">
        <v>1466.28</v>
      </c>
      <c r="AJ93" s="5" t="n">
        <v>0.15</v>
      </c>
      <c r="AK93" s="5" t="n">
        <v>0.08</v>
      </c>
      <c r="AL93" s="4" t="n">
        <v>10.36</v>
      </c>
      <c r="AM93" s="2" t="s">
        <v>419</v>
      </c>
      <c r="AN93" s="2" t="s">
        <v>129</v>
      </c>
      <c r="AO93" s="2" t="s">
        <v>116</v>
      </c>
      <c r="AP93" s="4" t="n">
        <v>879.77</v>
      </c>
      <c r="AQ93" s="2" t="s">
        <v>1646</v>
      </c>
      <c r="AR93" s="2" t="s">
        <v>1647</v>
      </c>
      <c r="AS93" s="2" t="s">
        <v>152</v>
      </c>
      <c r="AT93" s="2" t="s">
        <v>151</v>
      </c>
      <c r="AU93" s="2" t="s">
        <v>251</v>
      </c>
      <c r="AV93" s="2" t="s">
        <v>351</v>
      </c>
      <c r="AW93" s="2" t="s">
        <v>1648</v>
      </c>
      <c r="AX93" s="3" t="n">
        <v>45796</v>
      </c>
      <c r="AY93" s="3" t="n">
        <v>45798</v>
      </c>
      <c r="AZ93" s="2" t="s">
        <v>175</v>
      </c>
      <c r="BA93" s="2" t="s">
        <v>118</v>
      </c>
      <c r="BB93" s="2" t="s">
        <v>113</v>
      </c>
      <c r="BC93" s="2" t="s">
        <v>113</v>
      </c>
      <c r="BD93" s="2" t="s">
        <v>118</v>
      </c>
      <c r="BE93" s="2" t="s">
        <v>113</v>
      </c>
      <c r="BF93" s="2" t="s">
        <v>204</v>
      </c>
      <c r="BG93" s="2" t="s">
        <v>838</v>
      </c>
      <c r="BH93" s="2" t="s">
        <v>1649</v>
      </c>
      <c r="BI93" s="4" t="n">
        <v>110.41</v>
      </c>
      <c r="BJ93" s="2" t="n">
        <v>16384</v>
      </c>
      <c r="BK93" s="2" t="n">
        <v>313</v>
      </c>
      <c r="BL93" s="2" t="s">
        <v>113</v>
      </c>
      <c r="BM93" s="2" t="s">
        <v>118</v>
      </c>
      <c r="BN93" s="2" t="s">
        <v>304</v>
      </c>
      <c r="BO93" s="2" t="s">
        <v>142</v>
      </c>
      <c r="BP93" s="2" t="s">
        <v>143</v>
      </c>
      <c r="BQ93" s="2" t="n">
        <v>21.3</v>
      </c>
      <c r="BR93" s="2" t="n">
        <v>35</v>
      </c>
      <c r="BS93" s="2" t="s">
        <v>118</v>
      </c>
      <c r="BT93" s="2" t="n">
        <v>13</v>
      </c>
      <c r="BU93" s="2" t="n">
        <v>28.1</v>
      </c>
      <c r="BV93" s="2" t="n">
        <v>47</v>
      </c>
      <c r="BW93" s="3" t="n">
        <v>45952</v>
      </c>
      <c r="BX93" s="2" t="n">
        <v>4</v>
      </c>
      <c r="BY93" s="2" t="n">
        <v>15</v>
      </c>
      <c r="BZ93" s="2" t="s">
        <v>118</v>
      </c>
      <c r="CA93" s="2" t="n">
        <v>46</v>
      </c>
      <c r="CB93" s="2" t="n">
        <v>7</v>
      </c>
      <c r="CC93" s="2" t="n">
        <v>1</v>
      </c>
      <c r="CD93" s="2" t="n">
        <v>45.2</v>
      </c>
      <c r="CE93" s="4" t="n">
        <v>14371.22</v>
      </c>
      <c r="CF93" s="5" t="n">
        <v>71.8</v>
      </c>
      <c r="CG93" s="2" t="n">
        <v>397</v>
      </c>
      <c r="CH93" s="2" t="s">
        <v>329</v>
      </c>
      <c r="CI93" s="2" t="s">
        <v>117</v>
      </c>
      <c r="CJ93" s="2" t="n">
        <v>3</v>
      </c>
      <c r="CK93" s="2" t="n">
        <v>20</v>
      </c>
      <c r="CL93" s="4" t="n">
        <v>452.93</v>
      </c>
      <c r="CM93" s="2" t="n">
        <v>391</v>
      </c>
      <c r="CN93" s="2" t="s">
        <v>118</v>
      </c>
      <c r="CO93" s="4" t="n">
        <f aca="false">AH93*AI93</f>
        <v>7331.4</v>
      </c>
      <c r="CP93" s="4" t="n">
        <f aca="false">CO93*AJ93</f>
        <v>1099.71</v>
      </c>
      <c r="CQ93" s="4" t="n">
        <f aca="false">(CO93-CP93)*AK93</f>
        <v>498.5352</v>
      </c>
      <c r="CR93" s="4" t="n">
        <f aca="false">CO93-CP93+CQ93+AL93</f>
        <v>6740.5852</v>
      </c>
      <c r="CS93" s="4" t="n">
        <f aca="false">CR93-(AP93*AH93)-AL93</f>
        <v>2331.3752</v>
      </c>
      <c r="CT93" s="5" t="n">
        <f aca="false">IFERROR(CS93/CR93,0)</f>
        <v>0.345871334732183</v>
      </c>
      <c r="CU93" s="6" t="n">
        <f aca="false">IFERROR(BK93/BJ93,0)</f>
        <v>0.01910400390625</v>
      </c>
      <c r="CV93" s="2" t="n">
        <f aca="false">IF(AY93="N/A","N/A",AY93-AX93)</f>
        <v>2</v>
      </c>
    </row>
    <row r="94" customFormat="false" ht="15" hidden="false" customHeight="false" outlineLevel="0" collapsed="false">
      <c r="A94" s="2" t="s">
        <v>1650</v>
      </c>
      <c r="B94" s="2" t="s">
        <v>649</v>
      </c>
      <c r="C94" s="2" t="s">
        <v>427</v>
      </c>
      <c r="D94" s="2" t="s">
        <v>1651</v>
      </c>
      <c r="E94" s="2" t="s">
        <v>1652</v>
      </c>
      <c r="F94" s="2" t="s">
        <v>150</v>
      </c>
      <c r="G94" s="2" t="n">
        <v>73</v>
      </c>
      <c r="H94" s="3" t="n">
        <v>19045</v>
      </c>
      <c r="I94" s="2" t="s">
        <v>599</v>
      </c>
      <c r="J94" s="2" t="s">
        <v>667</v>
      </c>
      <c r="K94" s="2" t="s">
        <v>668</v>
      </c>
      <c r="L94" s="2" t="s">
        <v>669</v>
      </c>
      <c r="M94" s="2" t="s">
        <v>1653</v>
      </c>
      <c r="N94" s="3" t="n">
        <v>44790</v>
      </c>
      <c r="O94" s="2" t="s">
        <v>155</v>
      </c>
      <c r="P94" s="2" t="n">
        <v>2351</v>
      </c>
      <c r="Q94" s="2" t="s">
        <v>1654</v>
      </c>
      <c r="R94" s="2" t="s">
        <v>113</v>
      </c>
      <c r="S94" s="2" t="s">
        <v>114</v>
      </c>
      <c r="T94" s="2" t="s">
        <v>722</v>
      </c>
      <c r="U94" s="2" t="s">
        <v>116</v>
      </c>
      <c r="V94" s="2" t="s">
        <v>118</v>
      </c>
      <c r="W94" s="2" t="s">
        <v>118</v>
      </c>
      <c r="X94" s="2" t="s">
        <v>1655</v>
      </c>
      <c r="Y94" s="3" t="n">
        <v>45953</v>
      </c>
      <c r="Z94" s="2" t="s">
        <v>1656</v>
      </c>
      <c r="AA94" s="2" t="s">
        <v>161</v>
      </c>
      <c r="AB94" s="2" t="s">
        <v>218</v>
      </c>
      <c r="AC94" s="2" t="s">
        <v>1657</v>
      </c>
      <c r="AD94" s="2" t="s">
        <v>1658</v>
      </c>
      <c r="AE94" s="2" t="s">
        <v>395</v>
      </c>
      <c r="AF94" s="2" t="s">
        <v>396</v>
      </c>
      <c r="AG94" s="2" t="s">
        <v>397</v>
      </c>
      <c r="AH94" s="2" t="n">
        <v>4</v>
      </c>
      <c r="AI94" s="4" t="n">
        <v>60.08</v>
      </c>
      <c r="AJ94" s="5" t="n">
        <v>0</v>
      </c>
      <c r="AK94" s="5" t="n">
        <v>0.08</v>
      </c>
      <c r="AL94" s="4" t="n">
        <v>2.8</v>
      </c>
      <c r="AM94" s="2" t="s">
        <v>128</v>
      </c>
      <c r="AN94" s="2" t="s">
        <v>129</v>
      </c>
      <c r="AO94" s="2" t="s">
        <v>169</v>
      </c>
      <c r="AP94" s="4" t="n">
        <v>27.04</v>
      </c>
      <c r="AQ94" s="2" t="s">
        <v>1659</v>
      </c>
      <c r="AR94" s="2" t="s">
        <v>1660</v>
      </c>
      <c r="AS94" s="2" t="s">
        <v>668</v>
      </c>
      <c r="AT94" s="2" t="s">
        <v>599</v>
      </c>
      <c r="AU94" s="2" t="s">
        <v>172</v>
      </c>
      <c r="AV94" s="2" t="s">
        <v>375</v>
      </c>
      <c r="AW94" s="2" t="s">
        <v>1661</v>
      </c>
      <c r="AX94" s="3" t="n">
        <v>45958</v>
      </c>
      <c r="AY94" s="3" t="n">
        <v>45956</v>
      </c>
      <c r="AZ94" s="2" t="s">
        <v>301</v>
      </c>
      <c r="BA94" s="2" t="s">
        <v>118</v>
      </c>
      <c r="BB94" s="2" t="s">
        <v>113</v>
      </c>
      <c r="BC94" s="2" t="s">
        <v>113</v>
      </c>
      <c r="BD94" s="2" t="s">
        <v>118</v>
      </c>
      <c r="BE94" s="2" t="s">
        <v>113</v>
      </c>
      <c r="BF94" s="2" t="s">
        <v>280</v>
      </c>
      <c r="BG94" s="2" t="s">
        <v>679</v>
      </c>
      <c r="BH94" s="2" t="s">
        <v>1662</v>
      </c>
      <c r="BI94" s="4" t="n">
        <v>387.73</v>
      </c>
      <c r="BJ94" s="2" t="n">
        <v>15309</v>
      </c>
      <c r="BK94" s="2" t="n">
        <v>1993</v>
      </c>
      <c r="BL94" s="2" t="s">
        <v>356</v>
      </c>
      <c r="BM94" s="2" t="s">
        <v>118</v>
      </c>
      <c r="BN94" s="2" t="s">
        <v>304</v>
      </c>
      <c r="BO94" s="2" t="s">
        <v>178</v>
      </c>
      <c r="BP94" s="2" t="s">
        <v>143</v>
      </c>
      <c r="BQ94" s="2" t="n">
        <v>36.4</v>
      </c>
      <c r="BR94" s="2" t="n">
        <v>16</v>
      </c>
      <c r="BS94" s="2" t="s">
        <v>118</v>
      </c>
      <c r="BT94" s="2" t="n">
        <v>6</v>
      </c>
      <c r="BU94" s="2" t="n">
        <v>5.2</v>
      </c>
      <c r="BV94" s="2" t="n">
        <v>12</v>
      </c>
      <c r="BW94" s="3" t="n">
        <v>45980</v>
      </c>
      <c r="BX94" s="2" t="n">
        <v>3</v>
      </c>
      <c r="BY94" s="2" t="n">
        <v>70</v>
      </c>
      <c r="BZ94" s="2" t="s">
        <v>117</v>
      </c>
      <c r="CA94" s="2" t="n">
        <v>-66</v>
      </c>
      <c r="CB94" s="2" t="n">
        <v>1</v>
      </c>
      <c r="CC94" s="2" t="n">
        <v>2</v>
      </c>
      <c r="CD94" s="2" t="n">
        <v>57</v>
      </c>
      <c r="CE94" s="4" t="n">
        <v>4202.69</v>
      </c>
      <c r="CF94" s="5" t="n">
        <v>55.1</v>
      </c>
      <c r="CG94" s="2" t="n">
        <v>343</v>
      </c>
      <c r="CH94" s="2" t="s">
        <v>329</v>
      </c>
      <c r="CI94" s="2" t="s">
        <v>118</v>
      </c>
      <c r="CJ94" s="2" t="n">
        <v>0</v>
      </c>
      <c r="CK94" s="2" t="n">
        <v>63</v>
      </c>
      <c r="CL94" s="4" t="n">
        <v>329.41</v>
      </c>
      <c r="CM94" s="2" t="n">
        <v>358</v>
      </c>
      <c r="CN94" s="2" t="s">
        <v>118</v>
      </c>
      <c r="CO94" s="4" t="n">
        <f aca="false">AH94*AI94</f>
        <v>240.32</v>
      </c>
      <c r="CP94" s="4" t="n">
        <f aca="false">CO94*AJ94</f>
        <v>0</v>
      </c>
      <c r="CQ94" s="4" t="n">
        <f aca="false">(CO94-CP94)*AK94</f>
        <v>19.2256</v>
      </c>
      <c r="CR94" s="4" t="n">
        <f aca="false">CO94-CP94+CQ94+AL94</f>
        <v>262.3456</v>
      </c>
      <c r="CS94" s="4" t="n">
        <f aca="false">CR94-(AP94*AH94)-AL94</f>
        <v>151.3856</v>
      </c>
      <c r="CT94" s="5" t="n">
        <f aca="false">IFERROR(CS94/CR94,0)</f>
        <v>0.57704646085164</v>
      </c>
      <c r="CU94" s="6" t="n">
        <f aca="false">IFERROR(BK94/BJ94,0)</f>
        <v>0.13018485857992</v>
      </c>
      <c r="CV94" s="2" t="n">
        <f aca="false">IF(AY94="N/A","N/A",AY94-AX94)</f>
        <v>-2</v>
      </c>
    </row>
    <row r="95" customFormat="false" ht="15" hidden="false" customHeight="false" outlineLevel="0" collapsed="false">
      <c r="A95" s="2" t="s">
        <v>1663</v>
      </c>
      <c r="B95" s="2" t="s">
        <v>803</v>
      </c>
      <c r="C95" s="2" t="s">
        <v>307</v>
      </c>
      <c r="D95" s="2" t="s">
        <v>1664</v>
      </c>
      <c r="E95" s="2" t="s">
        <v>1665</v>
      </c>
      <c r="F95" s="2" t="s">
        <v>150</v>
      </c>
      <c r="G95" s="2" t="n">
        <v>48</v>
      </c>
      <c r="H95" s="3" t="n">
        <v>28437</v>
      </c>
      <c r="I95" s="2" t="s">
        <v>106</v>
      </c>
      <c r="J95" s="2" t="s">
        <v>185</v>
      </c>
      <c r="K95" s="2" t="s">
        <v>186</v>
      </c>
      <c r="L95" s="2" t="s">
        <v>187</v>
      </c>
      <c r="M95" s="2" t="s">
        <v>1666</v>
      </c>
      <c r="N95" s="3" t="n">
        <v>43694</v>
      </c>
      <c r="O95" s="2" t="s">
        <v>155</v>
      </c>
      <c r="P95" s="2" t="n">
        <v>3012</v>
      </c>
      <c r="Q95" s="2" t="s">
        <v>1667</v>
      </c>
      <c r="R95" s="2" t="s">
        <v>113</v>
      </c>
      <c r="S95" s="2" t="s">
        <v>114</v>
      </c>
      <c r="T95" s="2" t="s">
        <v>722</v>
      </c>
      <c r="U95" s="2" t="s">
        <v>158</v>
      </c>
      <c r="V95" s="2" t="s">
        <v>118</v>
      </c>
      <c r="W95" s="2" t="s">
        <v>117</v>
      </c>
      <c r="X95" s="2" t="s">
        <v>1668</v>
      </c>
      <c r="Y95" s="3" t="n">
        <v>45607</v>
      </c>
      <c r="Z95" s="2" t="s">
        <v>1669</v>
      </c>
      <c r="AA95" s="2" t="s">
        <v>368</v>
      </c>
      <c r="AB95" s="2" t="s">
        <v>122</v>
      </c>
      <c r="AC95" s="2" t="s">
        <v>1670</v>
      </c>
      <c r="AD95" s="2" t="s">
        <v>416</v>
      </c>
      <c r="AE95" s="2" t="s">
        <v>345</v>
      </c>
      <c r="AF95" s="2" t="s">
        <v>417</v>
      </c>
      <c r="AG95" s="2" t="s">
        <v>1364</v>
      </c>
      <c r="AH95" s="2" t="n">
        <v>2</v>
      </c>
      <c r="AI95" s="4" t="n">
        <v>477.78</v>
      </c>
      <c r="AJ95" s="5" t="n">
        <v>0.2</v>
      </c>
      <c r="AK95" s="5" t="n">
        <v>0.08</v>
      </c>
      <c r="AL95" s="4" t="n">
        <v>21.92</v>
      </c>
      <c r="AM95" s="2" t="s">
        <v>221</v>
      </c>
      <c r="AN95" s="2" t="s">
        <v>475</v>
      </c>
      <c r="AO95" s="2" t="s">
        <v>130</v>
      </c>
      <c r="AP95" s="4" t="n">
        <v>286.67</v>
      </c>
      <c r="AQ95" s="2" t="s">
        <v>1671</v>
      </c>
      <c r="AR95" s="2" t="s">
        <v>1672</v>
      </c>
      <c r="AS95" s="2" t="s">
        <v>186</v>
      </c>
      <c r="AT95" s="2" t="s">
        <v>106</v>
      </c>
      <c r="AU95" s="2" t="s">
        <v>133</v>
      </c>
      <c r="AV95" s="2" t="s">
        <v>375</v>
      </c>
      <c r="AW95" s="2" t="s">
        <v>1673</v>
      </c>
      <c r="AX95" s="3" t="n">
        <v>45613</v>
      </c>
      <c r="AY95" s="2" t="s">
        <v>113</v>
      </c>
      <c r="AZ95" s="2" t="s">
        <v>203</v>
      </c>
      <c r="BA95" s="2" t="s">
        <v>117</v>
      </c>
      <c r="BB95" s="2" t="s">
        <v>1054</v>
      </c>
      <c r="BC95" s="3" t="n">
        <v>45624</v>
      </c>
      <c r="BD95" s="2" t="s">
        <v>118</v>
      </c>
      <c r="BE95" s="2" t="s">
        <v>378</v>
      </c>
      <c r="BF95" s="2" t="s">
        <v>204</v>
      </c>
      <c r="BG95" s="2" t="s">
        <v>578</v>
      </c>
      <c r="BH95" s="2" t="s">
        <v>1674</v>
      </c>
      <c r="BI95" s="4" t="n">
        <v>396.55</v>
      </c>
      <c r="BJ95" s="2" t="n">
        <v>4099</v>
      </c>
      <c r="BK95" s="2" t="n">
        <v>552</v>
      </c>
      <c r="BL95" s="2" t="s">
        <v>403</v>
      </c>
      <c r="BM95" s="2" t="s">
        <v>117</v>
      </c>
      <c r="BN95" s="2" t="s">
        <v>304</v>
      </c>
      <c r="BO95" s="2" t="s">
        <v>258</v>
      </c>
      <c r="BP95" s="2" t="s">
        <v>143</v>
      </c>
      <c r="BQ95" s="2" t="n">
        <v>14.1</v>
      </c>
      <c r="BR95" s="2" t="n">
        <v>37</v>
      </c>
      <c r="BS95" s="2" t="s">
        <v>117</v>
      </c>
      <c r="BT95" s="2" t="n">
        <v>5</v>
      </c>
      <c r="BU95" s="2" t="n">
        <v>8.2</v>
      </c>
      <c r="BV95" s="2" t="n">
        <v>46</v>
      </c>
      <c r="BW95" s="3" t="n">
        <v>46000</v>
      </c>
      <c r="BX95" s="2" t="n">
        <v>5</v>
      </c>
      <c r="BY95" s="2" t="n">
        <v>33</v>
      </c>
      <c r="BZ95" s="2" t="s">
        <v>118</v>
      </c>
      <c r="CA95" s="2" t="n">
        <v>0</v>
      </c>
      <c r="CB95" s="2" t="n">
        <v>5</v>
      </c>
      <c r="CC95" s="2" t="n">
        <v>2</v>
      </c>
      <c r="CD95" s="2" t="n">
        <v>7</v>
      </c>
      <c r="CE95" s="4" t="n">
        <v>12349.48</v>
      </c>
      <c r="CF95" s="5" t="n">
        <v>23.5</v>
      </c>
      <c r="CG95" s="2" t="n">
        <v>515</v>
      </c>
      <c r="CH95" s="2" t="s">
        <v>144</v>
      </c>
      <c r="CI95" s="2" t="s">
        <v>117</v>
      </c>
      <c r="CJ95" s="2" t="n">
        <v>5</v>
      </c>
      <c r="CK95" s="2" t="n">
        <v>58</v>
      </c>
      <c r="CL95" s="4" t="n">
        <v>297.45</v>
      </c>
      <c r="CM95" s="2" t="n">
        <v>376</v>
      </c>
      <c r="CN95" s="2" t="s">
        <v>117</v>
      </c>
      <c r="CO95" s="4" t="n">
        <f aca="false">AH95*AI95</f>
        <v>955.56</v>
      </c>
      <c r="CP95" s="4" t="n">
        <f aca="false">CO95*AJ95</f>
        <v>191.112</v>
      </c>
      <c r="CQ95" s="4" t="n">
        <f aca="false">(CO95-CP95)*AK95</f>
        <v>61.15584</v>
      </c>
      <c r="CR95" s="4" t="n">
        <f aca="false">CO95-CP95+CQ95+AL95</f>
        <v>847.52384</v>
      </c>
      <c r="CS95" s="4" t="n">
        <f aca="false">CR95-(AP95*AH95)-AL95</f>
        <v>252.26384</v>
      </c>
      <c r="CT95" s="5" t="n">
        <f aca="false">IFERROR(CS95/CR95,0)</f>
        <v>0.297648075598676</v>
      </c>
      <c r="CU95" s="6" t="n">
        <f aca="false">IFERROR(BK95/BJ95,0)</f>
        <v>0.134666991949256</v>
      </c>
      <c r="CV95" s="2" t="str">
        <f aca="false">IF(AY95="N/A","N/A",AY95-AX95)</f>
        <v>N/A</v>
      </c>
    </row>
    <row r="96" customFormat="false" ht="15" hidden="false" customHeight="false" outlineLevel="0" collapsed="false">
      <c r="A96" s="2" t="s">
        <v>1603</v>
      </c>
      <c r="B96" s="2" t="s">
        <v>1114</v>
      </c>
      <c r="C96" s="2" t="s">
        <v>1675</v>
      </c>
      <c r="D96" s="2" t="s">
        <v>1676</v>
      </c>
      <c r="E96" s="2" t="s">
        <v>1677</v>
      </c>
      <c r="F96" s="2" t="s">
        <v>184</v>
      </c>
      <c r="G96" s="2" t="n">
        <v>70</v>
      </c>
      <c r="H96" s="3" t="n">
        <v>20266</v>
      </c>
      <c r="I96" s="2" t="s">
        <v>487</v>
      </c>
      <c r="J96" s="2" t="s">
        <v>488</v>
      </c>
      <c r="K96" s="2" t="s">
        <v>489</v>
      </c>
      <c r="L96" s="2" t="s">
        <v>490</v>
      </c>
      <c r="M96" s="2" t="s">
        <v>1678</v>
      </c>
      <c r="N96" s="3" t="n">
        <v>43914</v>
      </c>
      <c r="O96" s="2" t="s">
        <v>155</v>
      </c>
      <c r="P96" s="2" t="n">
        <v>3011</v>
      </c>
      <c r="Q96" s="2" t="s">
        <v>1679</v>
      </c>
      <c r="R96" s="2" t="s">
        <v>802</v>
      </c>
      <c r="S96" s="2" t="s">
        <v>114</v>
      </c>
      <c r="T96" s="2" t="s">
        <v>551</v>
      </c>
      <c r="U96" s="2" t="s">
        <v>116</v>
      </c>
      <c r="V96" s="2" t="s">
        <v>117</v>
      </c>
      <c r="W96" s="2" t="s">
        <v>118</v>
      </c>
      <c r="X96" s="2" t="s">
        <v>1680</v>
      </c>
      <c r="Y96" s="3" t="n">
        <v>45478</v>
      </c>
      <c r="Z96" s="2" t="s">
        <v>1681</v>
      </c>
      <c r="AA96" s="2" t="s">
        <v>161</v>
      </c>
      <c r="AB96" s="2" t="s">
        <v>122</v>
      </c>
      <c r="AC96" s="2" t="s">
        <v>1682</v>
      </c>
      <c r="AD96" s="2" t="s">
        <v>1020</v>
      </c>
      <c r="AE96" s="2" t="s">
        <v>295</v>
      </c>
      <c r="AF96" s="2" t="s">
        <v>496</v>
      </c>
      <c r="AG96" s="2" t="s">
        <v>1164</v>
      </c>
      <c r="AH96" s="2" t="n">
        <v>1</v>
      </c>
      <c r="AI96" s="4" t="n">
        <v>85.59</v>
      </c>
      <c r="AJ96" s="5" t="n">
        <v>0.05</v>
      </c>
      <c r="AK96" s="5" t="n">
        <v>0.08</v>
      </c>
      <c r="AL96" s="4" t="n">
        <v>10.46</v>
      </c>
      <c r="AM96" s="2" t="s">
        <v>198</v>
      </c>
      <c r="AN96" s="2" t="s">
        <v>475</v>
      </c>
      <c r="AO96" s="2" t="s">
        <v>169</v>
      </c>
      <c r="AP96" s="4" t="n">
        <v>34.24</v>
      </c>
      <c r="AQ96" s="2" t="s">
        <v>1683</v>
      </c>
      <c r="AR96" s="2" t="s">
        <v>1684</v>
      </c>
      <c r="AS96" s="2" t="s">
        <v>489</v>
      </c>
      <c r="AT96" s="2" t="s">
        <v>487</v>
      </c>
      <c r="AU96" s="2" t="s">
        <v>251</v>
      </c>
      <c r="AV96" s="2" t="s">
        <v>173</v>
      </c>
      <c r="AW96" s="2" t="s">
        <v>1685</v>
      </c>
      <c r="AX96" s="3" t="n">
        <v>45481</v>
      </c>
      <c r="AY96" s="3" t="n">
        <v>45486</v>
      </c>
      <c r="AZ96" s="2" t="s">
        <v>175</v>
      </c>
      <c r="BA96" s="2" t="s">
        <v>118</v>
      </c>
      <c r="BB96" s="2" t="s">
        <v>113</v>
      </c>
      <c r="BC96" s="2" t="s">
        <v>113</v>
      </c>
      <c r="BD96" s="2" t="s">
        <v>118</v>
      </c>
      <c r="BE96" s="2" t="s">
        <v>113</v>
      </c>
      <c r="BF96" s="2" t="s">
        <v>280</v>
      </c>
      <c r="BG96" s="2" t="s">
        <v>1686</v>
      </c>
      <c r="BH96" s="2" t="s">
        <v>1687</v>
      </c>
      <c r="BI96" s="4" t="n">
        <v>47.44</v>
      </c>
      <c r="BJ96" s="2" t="n">
        <v>5629</v>
      </c>
      <c r="BK96" s="2" t="n">
        <v>55</v>
      </c>
      <c r="BL96" s="2" t="s">
        <v>113</v>
      </c>
      <c r="BM96" s="2" t="s">
        <v>118</v>
      </c>
      <c r="BN96" s="2" t="s">
        <v>141</v>
      </c>
      <c r="BO96" s="2" t="s">
        <v>258</v>
      </c>
      <c r="BP96" s="2" t="s">
        <v>259</v>
      </c>
      <c r="BQ96" s="2" t="n">
        <v>43.9</v>
      </c>
      <c r="BR96" s="2" t="n">
        <v>26</v>
      </c>
      <c r="BS96" s="2" t="s">
        <v>118</v>
      </c>
      <c r="BT96" s="2" t="n">
        <v>12</v>
      </c>
      <c r="BU96" s="2" t="n">
        <v>21.5</v>
      </c>
      <c r="BV96" s="2" t="n">
        <v>48</v>
      </c>
      <c r="BW96" s="3" t="n">
        <v>45740</v>
      </c>
      <c r="BX96" s="2" t="n">
        <v>4</v>
      </c>
      <c r="BY96" s="2" t="n">
        <v>18</v>
      </c>
      <c r="BZ96" s="2" t="s">
        <v>117</v>
      </c>
      <c r="CA96" s="2" t="n">
        <v>-78</v>
      </c>
      <c r="CB96" s="2" t="n">
        <v>6</v>
      </c>
      <c r="CC96" s="2" t="n">
        <v>1</v>
      </c>
      <c r="CD96" s="2" t="n">
        <v>68.2</v>
      </c>
      <c r="CE96" s="4" t="n">
        <v>1804.39</v>
      </c>
      <c r="CF96" s="5" t="n">
        <v>71.9</v>
      </c>
      <c r="CG96" s="2" t="n">
        <v>745</v>
      </c>
      <c r="CH96" s="2" t="s">
        <v>283</v>
      </c>
      <c r="CI96" s="2" t="s">
        <v>117</v>
      </c>
      <c r="CJ96" s="2" t="n">
        <v>3</v>
      </c>
      <c r="CK96" s="2" t="n">
        <v>61</v>
      </c>
      <c r="CL96" s="4" t="n">
        <v>546.77</v>
      </c>
      <c r="CM96" s="2" t="n">
        <v>310</v>
      </c>
      <c r="CN96" s="2" t="s">
        <v>118</v>
      </c>
      <c r="CO96" s="4" t="n">
        <f aca="false">AH96*AI96</f>
        <v>85.59</v>
      </c>
      <c r="CP96" s="4" t="n">
        <f aca="false">CO96*AJ96</f>
        <v>4.2795</v>
      </c>
      <c r="CQ96" s="4" t="n">
        <f aca="false">(CO96-CP96)*AK96</f>
        <v>6.50484</v>
      </c>
      <c r="CR96" s="4" t="n">
        <f aca="false">CO96-CP96+CQ96+AL96</f>
        <v>98.27534</v>
      </c>
      <c r="CS96" s="4" t="n">
        <f aca="false">CR96-(AP96*AH96)-AL96</f>
        <v>53.57534</v>
      </c>
      <c r="CT96" s="5" t="n">
        <f aca="false">IFERROR(CS96/CR96,0)</f>
        <v>0.545155478475068</v>
      </c>
      <c r="CU96" s="6" t="n">
        <f aca="false">IFERROR(BK96/BJ96,0)</f>
        <v>0.0097708296322615</v>
      </c>
      <c r="CV96" s="2" t="n">
        <f aca="false">IF(AY96="N/A","N/A",AY96-AX96)</f>
        <v>5</v>
      </c>
    </row>
    <row r="97" customFormat="false" ht="15" hidden="false" customHeight="false" outlineLevel="0" collapsed="false">
      <c r="A97" s="2" t="s">
        <v>1688</v>
      </c>
      <c r="B97" s="2" t="s">
        <v>1689</v>
      </c>
      <c r="C97" s="2" t="s">
        <v>1690</v>
      </c>
      <c r="D97" s="2" t="s">
        <v>1691</v>
      </c>
      <c r="E97" s="2" t="s">
        <v>1692</v>
      </c>
      <c r="F97" s="2" t="s">
        <v>184</v>
      </c>
      <c r="G97" s="2" t="n">
        <v>69</v>
      </c>
      <c r="H97" s="3" t="n">
        <v>20455</v>
      </c>
      <c r="I97" s="2" t="s">
        <v>106</v>
      </c>
      <c r="J97" s="2" t="s">
        <v>185</v>
      </c>
      <c r="K97" s="2" t="s">
        <v>186</v>
      </c>
      <c r="L97" s="2" t="s">
        <v>187</v>
      </c>
      <c r="M97" s="2" t="s">
        <v>1693</v>
      </c>
      <c r="N97" s="3" t="n">
        <v>45167</v>
      </c>
      <c r="O97" s="2" t="s">
        <v>311</v>
      </c>
      <c r="P97" s="2" t="n">
        <v>2478</v>
      </c>
      <c r="Q97" s="2" t="s">
        <v>1694</v>
      </c>
      <c r="R97" s="2" t="s">
        <v>113</v>
      </c>
      <c r="S97" s="2" t="s">
        <v>114</v>
      </c>
      <c r="T97" s="2" t="s">
        <v>365</v>
      </c>
      <c r="U97" s="2" t="s">
        <v>215</v>
      </c>
      <c r="V97" s="2" t="s">
        <v>118</v>
      </c>
      <c r="W97" s="2" t="s">
        <v>117</v>
      </c>
      <c r="X97" s="2" t="s">
        <v>1695</v>
      </c>
      <c r="Y97" s="3" t="n">
        <v>45696</v>
      </c>
      <c r="Z97" s="2" t="s">
        <v>1696</v>
      </c>
      <c r="AA97" s="2" t="s">
        <v>368</v>
      </c>
      <c r="AB97" s="2" t="s">
        <v>342</v>
      </c>
      <c r="AC97" s="2" t="s">
        <v>1697</v>
      </c>
      <c r="AD97" s="2" t="s">
        <v>957</v>
      </c>
      <c r="AE97" s="2" t="s">
        <v>165</v>
      </c>
      <c r="AF97" s="2" t="s">
        <v>245</v>
      </c>
      <c r="AG97" s="2" t="s">
        <v>167</v>
      </c>
      <c r="AH97" s="2" t="n">
        <v>1</v>
      </c>
      <c r="AI97" s="4" t="n">
        <v>295.28</v>
      </c>
      <c r="AJ97" s="5" t="n">
        <v>0.1</v>
      </c>
      <c r="AK97" s="5" t="n">
        <v>0.08</v>
      </c>
      <c r="AL97" s="4" t="n">
        <v>4.72</v>
      </c>
      <c r="AM97" s="2" t="s">
        <v>221</v>
      </c>
      <c r="AN97" s="2" t="s">
        <v>129</v>
      </c>
      <c r="AO97" s="2" t="s">
        <v>169</v>
      </c>
      <c r="AP97" s="4" t="n">
        <v>147.64</v>
      </c>
      <c r="AQ97" s="2" t="s">
        <v>1698</v>
      </c>
      <c r="AR97" s="2" t="s">
        <v>1699</v>
      </c>
      <c r="AS97" s="2" t="s">
        <v>186</v>
      </c>
      <c r="AT97" s="2" t="s">
        <v>106</v>
      </c>
      <c r="AU97" s="2" t="s">
        <v>251</v>
      </c>
      <c r="AV97" s="2" t="s">
        <v>278</v>
      </c>
      <c r="AW97" s="2" t="s">
        <v>1700</v>
      </c>
      <c r="AX97" s="3" t="n">
        <v>45700</v>
      </c>
      <c r="AY97" s="2" t="s">
        <v>113</v>
      </c>
      <c r="AZ97" s="2" t="s">
        <v>136</v>
      </c>
      <c r="BA97" s="2" t="s">
        <v>117</v>
      </c>
      <c r="BB97" s="2" t="s">
        <v>819</v>
      </c>
      <c r="BC97" s="3" t="n">
        <v>45707</v>
      </c>
      <c r="BD97" s="2" t="s">
        <v>118</v>
      </c>
      <c r="BE97" s="2" t="s">
        <v>113</v>
      </c>
      <c r="BF97" s="2" t="s">
        <v>353</v>
      </c>
      <c r="BG97" s="2" t="s">
        <v>501</v>
      </c>
      <c r="BH97" s="2" t="s">
        <v>1701</v>
      </c>
      <c r="BI97" s="4" t="n">
        <v>181.48</v>
      </c>
      <c r="BJ97" s="2" t="n">
        <v>4422</v>
      </c>
      <c r="BK97" s="2" t="n">
        <v>96</v>
      </c>
      <c r="BL97" s="2" t="s">
        <v>113</v>
      </c>
      <c r="BM97" s="2" t="s">
        <v>118</v>
      </c>
      <c r="BN97" s="2" t="s">
        <v>141</v>
      </c>
      <c r="BO97" s="2" t="s">
        <v>229</v>
      </c>
      <c r="BP97" s="2" t="s">
        <v>823</v>
      </c>
      <c r="BQ97" s="2" t="n">
        <v>22.4</v>
      </c>
      <c r="BR97" s="2" t="n">
        <v>10</v>
      </c>
      <c r="BS97" s="2" t="s">
        <v>117</v>
      </c>
      <c r="BT97" s="2" t="n">
        <v>2</v>
      </c>
      <c r="BU97" s="2" t="n">
        <v>6.9</v>
      </c>
      <c r="BV97" s="2" t="n">
        <v>19</v>
      </c>
      <c r="BW97" s="3" t="n">
        <v>45788</v>
      </c>
      <c r="BX97" s="2" t="n">
        <v>3</v>
      </c>
      <c r="BY97" s="2" t="n">
        <v>43</v>
      </c>
      <c r="BZ97" s="2" t="s">
        <v>118</v>
      </c>
      <c r="CA97" s="2" t="n">
        <v>-71</v>
      </c>
      <c r="CB97" s="2" t="n">
        <v>6</v>
      </c>
      <c r="CC97" s="2" t="n">
        <v>0</v>
      </c>
      <c r="CD97" s="2" t="n">
        <v>0</v>
      </c>
      <c r="CE97" s="4" t="n">
        <v>14678.82</v>
      </c>
      <c r="CF97" s="5" t="n">
        <v>49.9</v>
      </c>
      <c r="CG97" s="2" t="n">
        <v>587</v>
      </c>
      <c r="CH97" s="2" t="s">
        <v>329</v>
      </c>
      <c r="CI97" s="2" t="s">
        <v>117</v>
      </c>
      <c r="CJ97" s="2" t="n">
        <v>10</v>
      </c>
      <c r="CK97" s="2" t="n">
        <v>75</v>
      </c>
      <c r="CL97" s="4" t="n">
        <v>143.19</v>
      </c>
      <c r="CM97" s="2" t="n">
        <v>2</v>
      </c>
      <c r="CN97" s="2" t="s">
        <v>118</v>
      </c>
      <c r="CO97" s="4" t="n">
        <f aca="false">AH97*AI97</f>
        <v>295.28</v>
      </c>
      <c r="CP97" s="4" t="n">
        <f aca="false">CO97*AJ97</f>
        <v>29.528</v>
      </c>
      <c r="CQ97" s="4" t="n">
        <f aca="false">(CO97-CP97)*AK97</f>
        <v>21.26016</v>
      </c>
      <c r="CR97" s="4" t="n">
        <f aca="false">CO97-CP97+CQ97+AL97</f>
        <v>291.73216</v>
      </c>
      <c r="CS97" s="4" t="n">
        <f aca="false">CR97-(AP97*AH97)-AL97</f>
        <v>139.37216</v>
      </c>
      <c r="CT97" s="5" t="n">
        <f aca="false">IFERROR(CS97/CR97,0)</f>
        <v>0.477740129850614</v>
      </c>
      <c r="CU97" s="6" t="n">
        <f aca="false">IFERROR(BK97/BJ97,0)</f>
        <v>0.0217096336499322</v>
      </c>
      <c r="CV97" s="2" t="str">
        <f aca="false">IF(AY97="N/A","N/A",AY97-AX97)</f>
        <v>N/A</v>
      </c>
    </row>
    <row r="98" customFormat="false" ht="15" hidden="false" customHeight="false" outlineLevel="0" collapsed="false">
      <c r="A98" s="2" t="s">
        <v>1702</v>
      </c>
      <c r="B98" s="2" t="s">
        <v>904</v>
      </c>
      <c r="C98" s="2" t="s">
        <v>360</v>
      </c>
      <c r="D98" s="2" t="s">
        <v>1703</v>
      </c>
      <c r="E98" s="2" t="s">
        <v>1704</v>
      </c>
      <c r="F98" s="2" t="s">
        <v>150</v>
      </c>
      <c r="G98" s="2" t="n">
        <v>22</v>
      </c>
      <c r="H98" s="3" t="n">
        <v>37736</v>
      </c>
      <c r="I98" s="2" t="s">
        <v>807</v>
      </c>
      <c r="J98" s="2" t="s">
        <v>808</v>
      </c>
      <c r="K98" s="2" t="s">
        <v>809</v>
      </c>
      <c r="L98" s="2" t="s">
        <v>810</v>
      </c>
      <c r="M98" s="2" t="s">
        <v>1705</v>
      </c>
      <c r="N98" s="3" t="n">
        <v>43487</v>
      </c>
      <c r="O98" s="2" t="s">
        <v>111</v>
      </c>
      <c r="P98" s="2" t="n">
        <v>212</v>
      </c>
      <c r="Q98" s="2" t="s">
        <v>1706</v>
      </c>
      <c r="R98" s="2" t="s">
        <v>113</v>
      </c>
      <c r="S98" s="2" t="s">
        <v>114</v>
      </c>
      <c r="T98" s="2" t="s">
        <v>191</v>
      </c>
      <c r="U98" s="2" t="s">
        <v>116</v>
      </c>
      <c r="V98" s="2" t="s">
        <v>117</v>
      </c>
      <c r="W98" s="2" t="s">
        <v>117</v>
      </c>
      <c r="X98" s="2" t="s">
        <v>1707</v>
      </c>
      <c r="Y98" s="3" t="n">
        <v>45583</v>
      </c>
      <c r="Z98" s="2" t="s">
        <v>1708</v>
      </c>
      <c r="AA98" s="2" t="s">
        <v>161</v>
      </c>
      <c r="AB98" s="2" t="s">
        <v>342</v>
      </c>
      <c r="AC98" s="2" t="s">
        <v>1709</v>
      </c>
      <c r="AD98" s="2" t="s">
        <v>164</v>
      </c>
      <c r="AE98" s="2" t="s">
        <v>165</v>
      </c>
      <c r="AF98" s="2" t="s">
        <v>974</v>
      </c>
      <c r="AG98" s="2" t="s">
        <v>991</v>
      </c>
      <c r="AH98" s="2" t="n">
        <v>5</v>
      </c>
      <c r="AI98" s="4" t="n">
        <v>465.42</v>
      </c>
      <c r="AJ98" s="5" t="n">
        <v>0</v>
      </c>
      <c r="AK98" s="5" t="n">
        <v>0.08</v>
      </c>
      <c r="AL98" s="4" t="n">
        <v>0.51</v>
      </c>
      <c r="AM98" s="2" t="s">
        <v>168</v>
      </c>
      <c r="AN98" s="2" t="s">
        <v>129</v>
      </c>
      <c r="AO98" s="2" t="s">
        <v>158</v>
      </c>
      <c r="AP98" s="4" t="n">
        <v>232.71</v>
      </c>
      <c r="AQ98" s="2" t="s">
        <v>1710</v>
      </c>
      <c r="AR98" s="2" t="s">
        <v>1711</v>
      </c>
      <c r="AS98" s="2" t="s">
        <v>809</v>
      </c>
      <c r="AT98" s="2" t="s">
        <v>807</v>
      </c>
      <c r="AU98" s="2" t="s">
        <v>251</v>
      </c>
      <c r="AV98" s="2" t="s">
        <v>351</v>
      </c>
      <c r="AW98" s="2" t="s">
        <v>1712</v>
      </c>
      <c r="AX98" s="3" t="n">
        <v>45590</v>
      </c>
      <c r="AY98" s="3" t="n">
        <v>45590</v>
      </c>
      <c r="AZ98" s="2" t="s">
        <v>136</v>
      </c>
      <c r="BA98" s="2" t="s">
        <v>118</v>
      </c>
      <c r="BB98" s="2" t="s">
        <v>113</v>
      </c>
      <c r="BC98" s="2" t="s">
        <v>113</v>
      </c>
      <c r="BD98" s="2" t="s">
        <v>118</v>
      </c>
      <c r="BE98" s="2" t="s">
        <v>113</v>
      </c>
      <c r="BF98" s="2" t="s">
        <v>255</v>
      </c>
      <c r="BG98" s="2" t="s">
        <v>256</v>
      </c>
      <c r="BH98" s="2" t="s">
        <v>1713</v>
      </c>
      <c r="BI98" s="4" t="n">
        <v>452.35</v>
      </c>
      <c r="BJ98" s="2" t="n">
        <v>15823</v>
      </c>
      <c r="BK98" s="2" t="n">
        <v>1864</v>
      </c>
      <c r="BL98" s="2" t="s">
        <v>113</v>
      </c>
      <c r="BM98" s="2" t="s">
        <v>118</v>
      </c>
      <c r="BN98" s="2" t="s">
        <v>141</v>
      </c>
      <c r="BO98" s="2" t="s">
        <v>178</v>
      </c>
      <c r="BP98" s="2" t="s">
        <v>357</v>
      </c>
      <c r="BQ98" s="2" t="n">
        <v>4.8</v>
      </c>
      <c r="BR98" s="2" t="n">
        <v>24</v>
      </c>
      <c r="BS98" s="2" t="s">
        <v>118</v>
      </c>
      <c r="BT98" s="2" t="n">
        <v>15</v>
      </c>
      <c r="BU98" s="2" t="n">
        <v>13.9</v>
      </c>
      <c r="BV98" s="2" t="n">
        <v>25</v>
      </c>
      <c r="BW98" s="3" t="n">
        <v>45826</v>
      </c>
      <c r="BX98" s="2" t="n">
        <v>5</v>
      </c>
      <c r="BY98" s="2" t="n">
        <v>68</v>
      </c>
      <c r="BZ98" s="2" t="s">
        <v>118</v>
      </c>
      <c r="CA98" s="2" t="n">
        <v>67</v>
      </c>
      <c r="CB98" s="2" t="n">
        <v>10</v>
      </c>
      <c r="CC98" s="2" t="n">
        <v>3</v>
      </c>
      <c r="CD98" s="2" t="n">
        <v>23.7</v>
      </c>
      <c r="CE98" s="4" t="n">
        <v>10986.6</v>
      </c>
      <c r="CF98" s="5" t="n">
        <v>73.4</v>
      </c>
      <c r="CG98" s="2" t="n">
        <v>432</v>
      </c>
      <c r="CH98" s="2" t="s">
        <v>329</v>
      </c>
      <c r="CI98" s="2" t="s">
        <v>117</v>
      </c>
      <c r="CJ98" s="2" t="n">
        <v>6</v>
      </c>
      <c r="CK98" s="2" t="n">
        <v>48</v>
      </c>
      <c r="CL98" s="4" t="n">
        <v>376.04</v>
      </c>
      <c r="CM98" s="2" t="n">
        <v>222</v>
      </c>
      <c r="CN98" s="2" t="s">
        <v>118</v>
      </c>
      <c r="CO98" s="4" t="n">
        <f aca="false">AH98*AI98</f>
        <v>2327.1</v>
      </c>
      <c r="CP98" s="4" t="n">
        <f aca="false">CO98*AJ98</f>
        <v>0</v>
      </c>
      <c r="CQ98" s="4" t="n">
        <f aca="false">(CO98-CP98)*AK98</f>
        <v>186.168</v>
      </c>
      <c r="CR98" s="4" t="n">
        <f aca="false">CO98-CP98+CQ98+AL98</f>
        <v>2513.778</v>
      </c>
      <c r="CS98" s="4" t="n">
        <f aca="false">CR98-(AP98*AH98)-AL98</f>
        <v>1349.718</v>
      </c>
      <c r="CT98" s="5" t="n">
        <f aca="false">IFERROR(CS98/CR98,0)</f>
        <v>0.536928081954731</v>
      </c>
      <c r="CU98" s="6" t="n">
        <f aca="false">IFERROR(BK98/BJ98,0)</f>
        <v>0.117803197876509</v>
      </c>
      <c r="CV98" s="2" t="n">
        <f aca="false">IF(AY98="N/A","N/A",AY98-AX98)</f>
        <v>0</v>
      </c>
    </row>
    <row r="99" customFormat="false" ht="15" hidden="false" customHeight="false" outlineLevel="0" collapsed="false">
      <c r="A99" s="2" t="s">
        <v>1714</v>
      </c>
      <c r="B99" s="2" t="s">
        <v>1411</v>
      </c>
      <c r="C99" s="2" t="s">
        <v>484</v>
      </c>
      <c r="D99" s="2" t="s">
        <v>1715</v>
      </c>
      <c r="E99" s="2" t="s">
        <v>1716</v>
      </c>
      <c r="F99" s="2" t="s">
        <v>184</v>
      </c>
      <c r="G99" s="2" t="n">
        <v>39</v>
      </c>
      <c r="H99" s="3" t="n">
        <v>31646</v>
      </c>
      <c r="I99" s="2" t="s">
        <v>106</v>
      </c>
      <c r="J99" s="2" t="s">
        <v>107</v>
      </c>
      <c r="K99" s="2" t="s">
        <v>108</v>
      </c>
      <c r="L99" s="2" t="s">
        <v>109</v>
      </c>
      <c r="M99" s="2" t="s">
        <v>1717</v>
      </c>
      <c r="N99" s="3" t="n">
        <v>43736</v>
      </c>
      <c r="O99" s="2" t="s">
        <v>859</v>
      </c>
      <c r="P99" s="2" t="n">
        <v>4319</v>
      </c>
      <c r="Q99" s="2" t="s">
        <v>1718</v>
      </c>
      <c r="R99" s="2" t="s">
        <v>113</v>
      </c>
      <c r="S99" s="2" t="s">
        <v>114</v>
      </c>
      <c r="T99" s="2" t="s">
        <v>115</v>
      </c>
      <c r="U99" s="2" t="s">
        <v>130</v>
      </c>
      <c r="V99" s="2" t="s">
        <v>117</v>
      </c>
      <c r="W99" s="2" t="s">
        <v>118</v>
      </c>
      <c r="X99" s="2" t="s">
        <v>1719</v>
      </c>
      <c r="Y99" s="3" t="n">
        <v>45936</v>
      </c>
      <c r="Z99" s="2" t="s">
        <v>1720</v>
      </c>
      <c r="AA99" s="2" t="s">
        <v>368</v>
      </c>
      <c r="AB99" s="2" t="s">
        <v>342</v>
      </c>
      <c r="AC99" s="2" t="s">
        <v>1721</v>
      </c>
      <c r="AD99" s="2" t="s">
        <v>164</v>
      </c>
      <c r="AE99" s="2" t="s">
        <v>165</v>
      </c>
      <c r="AF99" s="2" t="s">
        <v>990</v>
      </c>
      <c r="AG99" s="2" t="s">
        <v>929</v>
      </c>
      <c r="AH99" s="2" t="n">
        <v>4</v>
      </c>
      <c r="AI99" s="4" t="n">
        <v>225.43</v>
      </c>
      <c r="AJ99" s="5" t="n">
        <v>0.25</v>
      </c>
      <c r="AK99" s="5" t="n">
        <v>0.08</v>
      </c>
      <c r="AL99" s="4" t="n">
        <v>7.85</v>
      </c>
      <c r="AM99" s="2" t="s">
        <v>128</v>
      </c>
      <c r="AN99" s="2" t="s">
        <v>129</v>
      </c>
      <c r="AO99" s="2" t="s">
        <v>130</v>
      </c>
      <c r="AP99" s="4" t="n">
        <v>112.72</v>
      </c>
      <c r="AQ99" s="2" t="s">
        <v>1722</v>
      </c>
      <c r="AR99" s="2" t="s">
        <v>829</v>
      </c>
      <c r="AS99" s="2" t="s">
        <v>108</v>
      </c>
      <c r="AT99" s="2" t="s">
        <v>106</v>
      </c>
      <c r="AU99" s="2" t="s">
        <v>322</v>
      </c>
      <c r="AV99" s="2" t="s">
        <v>375</v>
      </c>
      <c r="AW99" s="2" t="s">
        <v>1723</v>
      </c>
      <c r="AX99" s="3" t="n">
        <v>45942</v>
      </c>
      <c r="AY99" s="2" t="s">
        <v>113</v>
      </c>
      <c r="AZ99" s="2" t="s">
        <v>175</v>
      </c>
      <c r="BA99" s="2" t="s">
        <v>117</v>
      </c>
      <c r="BB99" s="2" t="s">
        <v>1054</v>
      </c>
      <c r="BC99" s="3" t="n">
        <v>45946</v>
      </c>
      <c r="BD99" s="2" t="s">
        <v>118</v>
      </c>
      <c r="BE99" s="2" t="s">
        <v>254</v>
      </c>
      <c r="BF99" s="2" t="s">
        <v>280</v>
      </c>
      <c r="BG99" s="2" t="s">
        <v>1314</v>
      </c>
      <c r="BH99" s="2" t="s">
        <v>1724</v>
      </c>
      <c r="BI99" s="4" t="n">
        <v>269.52</v>
      </c>
      <c r="BJ99" s="2" t="n">
        <v>9943</v>
      </c>
      <c r="BK99" s="2" t="n">
        <v>514</v>
      </c>
      <c r="BL99" s="2" t="s">
        <v>1520</v>
      </c>
      <c r="BM99" s="2" t="s">
        <v>117</v>
      </c>
      <c r="BN99" s="2" t="s">
        <v>304</v>
      </c>
      <c r="BO99" s="2" t="s">
        <v>229</v>
      </c>
      <c r="BP99" s="2" t="s">
        <v>143</v>
      </c>
      <c r="BQ99" s="2" t="n">
        <v>29.7</v>
      </c>
      <c r="BR99" s="2" t="n">
        <v>30</v>
      </c>
      <c r="BS99" s="2" t="s">
        <v>118</v>
      </c>
      <c r="BT99" s="2" t="n">
        <v>19</v>
      </c>
      <c r="BU99" s="2" t="n">
        <v>22.1</v>
      </c>
      <c r="BV99" s="2" t="n">
        <v>20</v>
      </c>
      <c r="BW99" s="3" t="n">
        <v>46015</v>
      </c>
      <c r="BX99" s="2" t="n">
        <v>5</v>
      </c>
      <c r="BY99" s="2" t="n">
        <v>92</v>
      </c>
      <c r="BZ99" s="2" t="s">
        <v>118</v>
      </c>
      <c r="CA99" s="2" t="n">
        <v>-89</v>
      </c>
      <c r="CB99" s="2" t="n">
        <v>9</v>
      </c>
      <c r="CC99" s="2" t="n">
        <v>0</v>
      </c>
      <c r="CD99" s="2" t="n">
        <v>0</v>
      </c>
      <c r="CE99" s="4" t="n">
        <v>7684.24</v>
      </c>
      <c r="CF99" s="5" t="n">
        <v>41.3</v>
      </c>
      <c r="CG99" s="2" t="n">
        <v>775</v>
      </c>
      <c r="CH99" s="2" t="s">
        <v>144</v>
      </c>
      <c r="CI99" s="2" t="s">
        <v>118</v>
      </c>
      <c r="CJ99" s="2" t="n">
        <v>4</v>
      </c>
      <c r="CK99" s="2" t="n">
        <v>12</v>
      </c>
      <c r="CL99" s="4" t="n">
        <v>92.55</v>
      </c>
      <c r="CM99" s="2" t="n">
        <v>7</v>
      </c>
      <c r="CN99" s="2" t="s">
        <v>118</v>
      </c>
      <c r="CO99" s="4" t="n">
        <f aca="false">AH99*AI99</f>
        <v>901.72</v>
      </c>
      <c r="CP99" s="4" t="n">
        <f aca="false">CO99*AJ99</f>
        <v>225.43</v>
      </c>
      <c r="CQ99" s="4" t="n">
        <f aca="false">(CO99-CP99)*AK99</f>
        <v>54.1032</v>
      </c>
      <c r="CR99" s="4" t="n">
        <f aca="false">CO99-CP99+CQ99+AL99</f>
        <v>738.2432</v>
      </c>
      <c r="CS99" s="4" t="n">
        <f aca="false">CR99-(AP99*AH99)-AL99</f>
        <v>279.5132</v>
      </c>
      <c r="CT99" s="5" t="n">
        <f aca="false">IFERROR(CS99/CR99,0)</f>
        <v>0.378619403470293</v>
      </c>
      <c r="CU99" s="6" t="n">
        <f aca="false">IFERROR(BK99/BJ99,0)</f>
        <v>0.0516946595594891</v>
      </c>
      <c r="CV99" s="2" t="str">
        <f aca="false">IF(AY99="N/A","N/A",AY99-AX99)</f>
        <v>N/A</v>
      </c>
    </row>
    <row r="100" customFormat="false" ht="15" hidden="false" customHeight="false" outlineLevel="0" collapsed="false">
      <c r="A100" s="2" t="s">
        <v>1725</v>
      </c>
      <c r="B100" s="2" t="s">
        <v>1726</v>
      </c>
      <c r="C100" s="2" t="s">
        <v>406</v>
      </c>
      <c r="D100" s="2" t="s">
        <v>1727</v>
      </c>
      <c r="E100" s="2" t="s">
        <v>1728</v>
      </c>
      <c r="F100" s="2" t="s">
        <v>105</v>
      </c>
      <c r="G100" s="2" t="n">
        <v>72</v>
      </c>
      <c r="H100" s="3" t="n">
        <v>19366</v>
      </c>
      <c r="I100" s="2" t="s">
        <v>807</v>
      </c>
      <c r="J100" s="2" t="s">
        <v>808</v>
      </c>
      <c r="K100" s="2" t="s">
        <v>809</v>
      </c>
      <c r="L100" s="2" t="s">
        <v>810</v>
      </c>
      <c r="M100" s="2" t="s">
        <v>1729</v>
      </c>
      <c r="N100" s="3" t="n">
        <v>43695</v>
      </c>
      <c r="O100" s="2" t="s">
        <v>311</v>
      </c>
      <c r="P100" s="2" t="n">
        <v>3569</v>
      </c>
      <c r="Q100" s="2" t="s">
        <v>1730</v>
      </c>
      <c r="R100" s="2" t="s">
        <v>113</v>
      </c>
      <c r="S100" s="2" t="s">
        <v>114</v>
      </c>
      <c r="T100" s="2" t="s">
        <v>191</v>
      </c>
      <c r="U100" s="2" t="s">
        <v>215</v>
      </c>
      <c r="V100" s="2" t="s">
        <v>117</v>
      </c>
      <c r="W100" s="2" t="s">
        <v>117</v>
      </c>
      <c r="X100" s="2" t="s">
        <v>1731</v>
      </c>
      <c r="Y100" s="3" t="n">
        <v>45933</v>
      </c>
      <c r="Z100" s="2" t="s">
        <v>1732</v>
      </c>
      <c r="AA100" s="2" t="s">
        <v>161</v>
      </c>
      <c r="AB100" s="2" t="s">
        <v>342</v>
      </c>
      <c r="AC100" s="2" t="s">
        <v>1733</v>
      </c>
      <c r="AD100" s="2" t="s">
        <v>624</v>
      </c>
      <c r="AE100" s="2" t="s">
        <v>625</v>
      </c>
      <c r="AF100" s="2" t="s">
        <v>747</v>
      </c>
      <c r="AG100" s="2" t="s">
        <v>1138</v>
      </c>
      <c r="AH100" s="2" t="n">
        <v>3</v>
      </c>
      <c r="AI100" s="4" t="n">
        <v>140.39</v>
      </c>
      <c r="AJ100" s="5" t="n">
        <v>0</v>
      </c>
      <c r="AK100" s="5" t="n">
        <v>0.08</v>
      </c>
      <c r="AL100" s="4" t="n">
        <v>17.86</v>
      </c>
      <c r="AM100" s="2" t="s">
        <v>247</v>
      </c>
      <c r="AN100" s="2" t="s">
        <v>129</v>
      </c>
      <c r="AO100" s="2" t="s">
        <v>222</v>
      </c>
      <c r="AP100" s="4" t="n">
        <v>63.18</v>
      </c>
      <c r="AQ100" s="2" t="s">
        <v>1734</v>
      </c>
      <c r="AR100" s="2" t="s">
        <v>1735</v>
      </c>
      <c r="AS100" s="2" t="s">
        <v>809</v>
      </c>
      <c r="AT100" s="2" t="s">
        <v>807</v>
      </c>
      <c r="AU100" s="2" t="s">
        <v>133</v>
      </c>
      <c r="AV100" s="2" t="s">
        <v>375</v>
      </c>
      <c r="AW100" s="2" t="s">
        <v>1736</v>
      </c>
      <c r="AX100" s="3" t="n">
        <v>45942</v>
      </c>
      <c r="AY100" s="3" t="n">
        <v>45946</v>
      </c>
      <c r="AZ100" s="2" t="s">
        <v>136</v>
      </c>
      <c r="BA100" s="2" t="s">
        <v>118</v>
      </c>
      <c r="BB100" s="2" t="s">
        <v>113</v>
      </c>
      <c r="BC100" s="2" t="s">
        <v>113</v>
      </c>
      <c r="BD100" s="2" t="s">
        <v>118</v>
      </c>
      <c r="BE100" s="2" t="s">
        <v>113</v>
      </c>
      <c r="BF100" s="2" t="s">
        <v>137</v>
      </c>
      <c r="BG100" s="2" t="s">
        <v>401</v>
      </c>
      <c r="BH100" s="2" t="s">
        <v>1737</v>
      </c>
      <c r="BI100" s="4" t="n">
        <v>249.92</v>
      </c>
      <c r="BJ100" s="2" t="n">
        <v>5094</v>
      </c>
      <c r="BK100" s="2" t="n">
        <v>761</v>
      </c>
      <c r="BL100" s="2" t="s">
        <v>113</v>
      </c>
      <c r="BM100" s="2" t="s">
        <v>117</v>
      </c>
      <c r="BN100" s="2" t="s">
        <v>304</v>
      </c>
      <c r="BO100" s="2" t="s">
        <v>258</v>
      </c>
      <c r="BP100" s="2" t="s">
        <v>143</v>
      </c>
      <c r="BQ100" s="2" t="n">
        <v>31.5</v>
      </c>
      <c r="BR100" s="2" t="n">
        <v>2</v>
      </c>
      <c r="BS100" s="2" t="s">
        <v>117</v>
      </c>
      <c r="BT100" s="2" t="n">
        <v>6</v>
      </c>
      <c r="BU100" s="2" t="n">
        <v>14.6</v>
      </c>
      <c r="BV100" s="2" t="n">
        <v>29</v>
      </c>
      <c r="BW100" s="3" t="n">
        <v>45962</v>
      </c>
      <c r="BX100" s="2" t="n">
        <v>5</v>
      </c>
      <c r="BY100" s="2" t="n">
        <v>129</v>
      </c>
      <c r="BZ100" s="2" t="s">
        <v>117</v>
      </c>
      <c r="CA100" s="2" t="n">
        <v>49</v>
      </c>
      <c r="CB100" s="2" t="n">
        <v>4</v>
      </c>
      <c r="CC100" s="2" t="n">
        <v>1</v>
      </c>
      <c r="CD100" s="2" t="n">
        <v>21.6</v>
      </c>
      <c r="CE100" s="4" t="n">
        <v>12450.29</v>
      </c>
      <c r="CF100" s="5" t="n">
        <v>39.2</v>
      </c>
      <c r="CG100" s="2" t="n">
        <v>641</v>
      </c>
      <c r="CH100" s="2" t="s">
        <v>144</v>
      </c>
      <c r="CI100" s="2" t="s">
        <v>117</v>
      </c>
      <c r="CJ100" s="2" t="n">
        <v>9</v>
      </c>
      <c r="CK100" s="2" t="n">
        <v>60</v>
      </c>
      <c r="CL100" s="4" t="n">
        <v>96.07</v>
      </c>
      <c r="CM100" s="2" t="n">
        <v>150</v>
      </c>
      <c r="CN100" s="2" t="s">
        <v>118</v>
      </c>
      <c r="CO100" s="4" t="n">
        <f aca="false">AH100*AI100</f>
        <v>421.17</v>
      </c>
      <c r="CP100" s="4" t="n">
        <f aca="false">CO100*AJ100</f>
        <v>0</v>
      </c>
      <c r="CQ100" s="4" t="n">
        <f aca="false">(CO100-CP100)*AK100</f>
        <v>33.6936</v>
      </c>
      <c r="CR100" s="4" t="n">
        <f aca="false">CO100-CP100+CQ100+AL100</f>
        <v>472.7236</v>
      </c>
      <c r="CS100" s="4" t="n">
        <f aca="false">CR100-(AP100*AH100)-AL100</f>
        <v>265.3236</v>
      </c>
      <c r="CT100" s="5" t="n">
        <f aca="false">IFERROR(CS100/CR100,0)</f>
        <v>0.561265822142157</v>
      </c>
      <c r="CU100" s="6" t="n">
        <f aca="false">IFERROR(BK100/BJ100,0)</f>
        <v>0.149391440910876</v>
      </c>
      <c r="CV100" s="2" t="n">
        <f aca="false">IF(AY100="N/A","N/A",AY100-AX100)</f>
        <v>4</v>
      </c>
    </row>
    <row r="101" customFormat="false" ht="15" hidden="false" customHeight="false" outlineLevel="0" collapsed="false">
      <c r="A101" s="2" t="s">
        <v>1738</v>
      </c>
      <c r="B101" s="2" t="s">
        <v>841</v>
      </c>
      <c r="C101" s="2" t="s">
        <v>1302</v>
      </c>
      <c r="D101" s="2" t="s">
        <v>1739</v>
      </c>
      <c r="E101" s="2" t="s">
        <v>1740</v>
      </c>
      <c r="F101" s="2" t="s">
        <v>184</v>
      </c>
      <c r="G101" s="2" t="n">
        <v>59</v>
      </c>
      <c r="H101" s="3" t="n">
        <v>24453</v>
      </c>
      <c r="I101" s="2" t="s">
        <v>807</v>
      </c>
      <c r="J101" s="2" t="s">
        <v>808</v>
      </c>
      <c r="K101" s="2" t="s">
        <v>809</v>
      </c>
      <c r="L101" s="2" t="s">
        <v>810</v>
      </c>
      <c r="M101" s="2" t="s">
        <v>1741</v>
      </c>
      <c r="N101" s="3" t="n">
        <v>43764</v>
      </c>
      <c r="O101" s="2" t="s">
        <v>311</v>
      </c>
      <c r="P101" s="2" t="n">
        <v>2313</v>
      </c>
      <c r="Q101" s="2" t="s">
        <v>1742</v>
      </c>
      <c r="R101" s="2" t="s">
        <v>696</v>
      </c>
      <c r="S101" s="2" t="s">
        <v>114</v>
      </c>
      <c r="T101" s="2" t="s">
        <v>157</v>
      </c>
      <c r="U101" s="2" t="s">
        <v>158</v>
      </c>
      <c r="V101" s="2" t="s">
        <v>117</v>
      </c>
      <c r="W101" s="2" t="s">
        <v>117</v>
      </c>
      <c r="X101" s="2" t="s">
        <v>1743</v>
      </c>
      <c r="Y101" s="3" t="n">
        <v>45999</v>
      </c>
      <c r="Z101" s="2" t="s">
        <v>1744</v>
      </c>
      <c r="AA101" s="2" t="s">
        <v>368</v>
      </c>
      <c r="AB101" s="2" t="s">
        <v>218</v>
      </c>
      <c r="AC101" s="2" t="s">
        <v>1745</v>
      </c>
      <c r="AD101" s="2" t="s">
        <v>220</v>
      </c>
      <c r="AE101" s="2" t="s">
        <v>165</v>
      </c>
      <c r="AF101" s="2" t="s">
        <v>974</v>
      </c>
      <c r="AG101" s="2" t="s">
        <v>991</v>
      </c>
      <c r="AH101" s="2" t="n">
        <v>2</v>
      </c>
      <c r="AI101" s="4" t="n">
        <v>109.35</v>
      </c>
      <c r="AJ101" s="5" t="n">
        <v>0.25</v>
      </c>
      <c r="AK101" s="5" t="n">
        <v>0.08</v>
      </c>
      <c r="AL101" s="4" t="n">
        <v>15.11</v>
      </c>
      <c r="AM101" s="2" t="s">
        <v>221</v>
      </c>
      <c r="AN101" s="2" t="s">
        <v>129</v>
      </c>
      <c r="AO101" s="2" t="s">
        <v>116</v>
      </c>
      <c r="AP101" s="4" t="n">
        <v>54.67</v>
      </c>
      <c r="AQ101" s="2" t="s">
        <v>1746</v>
      </c>
      <c r="AR101" s="2" t="s">
        <v>1747</v>
      </c>
      <c r="AS101" s="2" t="s">
        <v>809</v>
      </c>
      <c r="AT101" s="2" t="s">
        <v>807</v>
      </c>
      <c r="AU101" s="2" t="s">
        <v>133</v>
      </c>
      <c r="AV101" s="2" t="s">
        <v>351</v>
      </c>
      <c r="AW101" s="2" t="s">
        <v>1748</v>
      </c>
      <c r="AX101" s="3" t="n">
        <v>46002</v>
      </c>
      <c r="AY101" s="2" t="s">
        <v>113</v>
      </c>
      <c r="AZ101" s="2" t="s">
        <v>301</v>
      </c>
      <c r="BA101" s="2" t="s">
        <v>117</v>
      </c>
      <c r="BB101" s="2" t="s">
        <v>819</v>
      </c>
      <c r="BC101" s="3" t="n">
        <v>46020</v>
      </c>
      <c r="BD101" s="2" t="s">
        <v>118</v>
      </c>
      <c r="BE101" s="2" t="s">
        <v>378</v>
      </c>
      <c r="BF101" s="2" t="s">
        <v>204</v>
      </c>
      <c r="BG101" s="2" t="s">
        <v>578</v>
      </c>
      <c r="BH101" s="2" t="s">
        <v>1749</v>
      </c>
      <c r="BI101" s="4" t="n">
        <v>436.08</v>
      </c>
      <c r="BJ101" s="2" t="n">
        <v>10050</v>
      </c>
      <c r="BK101" s="2" t="n">
        <v>485</v>
      </c>
      <c r="BL101" s="2" t="s">
        <v>113</v>
      </c>
      <c r="BM101" s="2" t="s">
        <v>117</v>
      </c>
      <c r="BN101" s="2" t="s">
        <v>141</v>
      </c>
      <c r="BO101" s="2" t="s">
        <v>178</v>
      </c>
      <c r="BP101" s="2" t="s">
        <v>143</v>
      </c>
      <c r="BQ101" s="2" t="n">
        <v>13.5</v>
      </c>
      <c r="BR101" s="2" t="n">
        <v>29</v>
      </c>
      <c r="BS101" s="2" t="s">
        <v>118</v>
      </c>
      <c r="BT101" s="2" t="n">
        <v>15</v>
      </c>
      <c r="BU101" s="2" t="n">
        <v>22.2</v>
      </c>
      <c r="BV101" s="2" t="n">
        <v>7</v>
      </c>
      <c r="BW101" s="3" t="n">
        <v>46003</v>
      </c>
      <c r="BX101" s="2" t="n">
        <v>4</v>
      </c>
      <c r="BY101" s="2" t="n">
        <v>93</v>
      </c>
      <c r="BZ101" s="2" t="s">
        <v>117</v>
      </c>
      <c r="CA101" s="2" t="n">
        <v>-34</v>
      </c>
      <c r="CB101" s="2" t="n">
        <v>6</v>
      </c>
      <c r="CC101" s="2" t="n">
        <v>5</v>
      </c>
      <c r="CD101" s="2" t="n">
        <v>11.8</v>
      </c>
      <c r="CE101" s="4" t="n">
        <v>12427.83</v>
      </c>
      <c r="CF101" s="5" t="n">
        <v>89.4</v>
      </c>
      <c r="CG101" s="2" t="n">
        <v>332</v>
      </c>
      <c r="CH101" s="2" t="s">
        <v>283</v>
      </c>
      <c r="CI101" s="2" t="s">
        <v>117</v>
      </c>
      <c r="CJ101" s="2" t="n">
        <v>3</v>
      </c>
      <c r="CK101" s="2" t="n">
        <v>57</v>
      </c>
      <c r="CL101" s="4" t="n">
        <v>582.39</v>
      </c>
      <c r="CM101" s="2" t="n">
        <v>393</v>
      </c>
      <c r="CN101" s="2" t="s">
        <v>118</v>
      </c>
      <c r="CO101" s="4" t="n">
        <f aca="false">AH101*AI101</f>
        <v>218.7</v>
      </c>
      <c r="CP101" s="4" t="n">
        <f aca="false">CO101*AJ101</f>
        <v>54.675</v>
      </c>
      <c r="CQ101" s="4" t="n">
        <f aca="false">(CO101-CP101)*AK101</f>
        <v>13.122</v>
      </c>
      <c r="CR101" s="4" t="n">
        <f aca="false">CO101-CP101+CQ101+AL101</f>
        <v>192.257</v>
      </c>
      <c r="CS101" s="4" t="n">
        <f aca="false">CR101-(AP101*AH101)-AL101</f>
        <v>67.807</v>
      </c>
      <c r="CT101" s="5" t="n">
        <f aca="false">IFERROR(CS101/CR101,0)</f>
        <v>0.352689368917647</v>
      </c>
      <c r="CU101" s="6" t="n">
        <f aca="false">IFERROR(BK101/BJ101,0)</f>
        <v>0.0482587064676617</v>
      </c>
      <c r="CV101" s="2" t="str">
        <f aca="false">IF(AY101="N/A","N/A",AY101-AX101)</f>
        <v>N/A</v>
      </c>
    </row>
  </sheetData>
  <autoFilter ref="A1:CV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2026-08-17T10:20:39Z</dcterms:created>
  <dc:creator>openpyxl</dc:creator>
  <dc:description/>
  <dc:language>en-US</dc:language>
  <cp:lastModifiedBy/>
  <dcterms:modified xsi:type="dcterms:W3CDTF">2026-08-17T10:20:39Z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